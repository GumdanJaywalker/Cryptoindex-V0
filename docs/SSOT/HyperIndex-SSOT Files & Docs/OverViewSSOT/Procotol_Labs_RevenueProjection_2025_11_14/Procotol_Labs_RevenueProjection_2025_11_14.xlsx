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d24\Downloads\Telegram Desktop\"/>
    </mc:Choice>
  </mc:AlternateContent>
  <xr:revisionPtr revIDLastSave="0" documentId="13_ncr:1_{51C8E8E9-FFEF-47CB-BA96-4F18788024D6}" xr6:coauthVersionLast="47" xr6:coauthVersionMax="47" xr10:uidLastSave="{00000000-0000-0000-0000-000000000000}"/>
  <bookViews>
    <workbookView xWindow="-110" yWindow="-110" windowWidth="25820" windowHeight="13900" activeTab="1" xr2:uid="{0E11CC87-BE97-E94D-8731-C63B5A9CD0B2}"/>
  </bookViews>
  <sheets>
    <sheet name="Parameters" sheetId="5" r:id="rId1"/>
    <sheet name="GMV(Total)" sheetId="1" r:id="rId2"/>
    <sheet name="GMV(Layer)" sheetId="4" r:id="rId3"/>
    <sheet name="AUM" sheetId="2" r:id="rId4"/>
    <sheet name="Launch Fee" sheetId="6" r:id="rId5"/>
    <sheet name="Rebalancing Fee" sheetId="7" r:id="rId6"/>
    <sheet name="Management Fee" sheetId="8" r:id="rId7"/>
    <sheet name="Protocol Fee(Trade)" sheetId="9" r:id="rId8"/>
    <sheet name="Creator Fee" sheetId="10" r:id="rId9"/>
    <sheet name="LP Fee" sheetId="11" r:id="rId10"/>
    <sheet name="Interface Fee" sheetId="14" r:id="rId11"/>
    <sheet name="Fee Share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U27" i="4" s="1"/>
  <c r="V27" i="4" s="1"/>
  <c r="K3" i="9"/>
  <c r="K4" i="9"/>
  <c r="K5" i="9"/>
  <c r="K6" i="9"/>
  <c r="K7" i="9"/>
  <c r="K2" i="9"/>
  <c r="F4" i="14" a="1"/>
  <c r="F4" i="14" s="1"/>
  <c r="F5" i="14" a="1"/>
  <c r="F5" i="14"/>
  <c r="F6" i="14" a="1"/>
  <c r="F6" i="14"/>
  <c r="F7" i="14" a="1"/>
  <c r="F7" i="14" s="1"/>
  <c r="G7" i="14" s="1"/>
  <c r="F3" i="14" a="1"/>
  <c r="F3" i="14" s="1"/>
  <c r="F2" i="14" a="1"/>
  <c r="F2" i="14" s="1"/>
  <c r="B3" i="10"/>
  <c r="B4" i="10"/>
  <c r="B5" i="10"/>
  <c r="B6" i="10"/>
  <c r="B7" i="10"/>
  <c r="B2" i="10"/>
  <c r="O5" i="2"/>
  <c r="O6" i="2"/>
  <c r="O10" i="2"/>
  <c r="O11" i="2"/>
  <c r="O15" i="2"/>
  <c r="O16" i="2"/>
  <c r="O20" i="2"/>
  <c r="O21" i="2"/>
  <c r="O25" i="2"/>
  <c r="O26" i="2"/>
  <c r="O30" i="2"/>
  <c r="O31" i="2"/>
  <c r="J7" i="6"/>
  <c r="E7" i="14" s="1"/>
  <c r="G3" i="9"/>
  <c r="I3" i="9" s="1"/>
  <c r="G4" i="9"/>
  <c r="I4" i="9" s="1"/>
  <c r="G5" i="9"/>
  <c r="I5" i="9" s="1"/>
  <c r="G6" i="9"/>
  <c r="I6" i="9" s="1"/>
  <c r="G7" i="9"/>
  <c r="I7" i="9" s="1"/>
  <c r="G2" i="9"/>
  <c r="I2" i="9" s="1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H7" i="7"/>
  <c r="H8" i="7"/>
  <c r="H9" i="7"/>
  <c r="H12" i="7"/>
  <c r="H13" i="7"/>
  <c r="H14" i="7"/>
  <c r="H17" i="7"/>
  <c r="H18" i="7"/>
  <c r="H19" i="7"/>
  <c r="H22" i="7"/>
  <c r="H23" i="7"/>
  <c r="H24" i="7"/>
  <c r="H27" i="7"/>
  <c r="H28" i="7"/>
  <c r="H29" i="7"/>
  <c r="G29" i="7"/>
  <c r="G30" i="7" s="1"/>
  <c r="G31" i="7" s="1"/>
  <c r="G28" i="7"/>
  <c r="G27" i="7"/>
  <c r="G24" i="7"/>
  <c r="G25" i="7"/>
  <c r="G26" i="7" s="1"/>
  <c r="G23" i="7"/>
  <c r="G22" i="7"/>
  <c r="G19" i="7"/>
  <c r="G20" i="7" s="1"/>
  <c r="G21" i="7" s="1"/>
  <c r="G18" i="7"/>
  <c r="G17" i="7"/>
  <c r="G14" i="7"/>
  <c r="G15" i="7" s="1"/>
  <c r="G16" i="7" s="1"/>
  <c r="G13" i="7"/>
  <c r="G12" i="7"/>
  <c r="G11" i="7"/>
  <c r="G10" i="7"/>
  <c r="G9" i="7"/>
  <c r="G8" i="7"/>
  <c r="G7" i="7"/>
  <c r="G6" i="7"/>
  <c r="G5" i="7"/>
  <c r="G4" i="7"/>
  <c r="G3" i="7"/>
  <c r="G2" i="7"/>
  <c r="F7" i="7"/>
  <c r="F8" i="7"/>
  <c r="F9" i="7"/>
  <c r="F12" i="7"/>
  <c r="F13" i="7"/>
  <c r="F14" i="7"/>
  <c r="F17" i="7"/>
  <c r="F18" i="7"/>
  <c r="F19" i="7"/>
  <c r="F22" i="7"/>
  <c r="F23" i="7"/>
  <c r="F24" i="7"/>
  <c r="F27" i="7"/>
  <c r="F28" i="7"/>
  <c r="F29" i="7"/>
  <c r="F3" i="7"/>
  <c r="H3" i="7" s="1"/>
  <c r="F4" i="7"/>
  <c r="H4" i="7" s="1"/>
  <c r="F2" i="7"/>
  <c r="H2" i="7" s="1"/>
  <c r="I24" i="5" a="1"/>
  <c r="I24" i="5" s="1"/>
  <c r="J24" i="5" a="1"/>
  <c r="J24" i="5" s="1"/>
  <c r="H24" i="5" a="1"/>
  <c r="H24" i="5" s="1"/>
  <c r="E2" i="6"/>
  <c r="F2" i="6" s="1"/>
  <c r="D2" i="6"/>
  <c r="D3" i="6"/>
  <c r="D4" i="6"/>
  <c r="D5" i="6"/>
  <c r="D6" i="6"/>
  <c r="D7" i="6"/>
  <c r="C2" i="6"/>
  <c r="I10" i="5"/>
  <c r="I11" i="5"/>
  <c r="I12" i="5"/>
  <c r="I13" i="5"/>
  <c r="I14" i="5"/>
  <c r="I15" i="5"/>
  <c r="K12" i="5"/>
  <c r="C4" i="6" s="1"/>
  <c r="K11" i="5"/>
  <c r="L11" i="5" s="1"/>
  <c r="E3" i="6" s="1"/>
  <c r="F3" i="6" s="1"/>
  <c r="L10" i="5"/>
  <c r="F37" i="5"/>
  <c r="D29" i="2" s="1"/>
  <c r="F32" i="5"/>
  <c r="D24" i="2" s="1"/>
  <c r="F27" i="5"/>
  <c r="D19" i="2" s="1"/>
  <c r="F22" i="5"/>
  <c r="D14" i="2" s="1"/>
  <c r="F17" i="5"/>
  <c r="D9" i="2" s="1"/>
  <c r="D4" i="2"/>
  <c r="D5" i="2"/>
  <c r="D6" i="2"/>
  <c r="D10" i="2"/>
  <c r="D11" i="2"/>
  <c r="D15" i="2"/>
  <c r="D16" i="2"/>
  <c r="D17" i="2"/>
  <c r="D20" i="2"/>
  <c r="D21" i="2"/>
  <c r="D25" i="2"/>
  <c r="D26" i="2"/>
  <c r="D30" i="2"/>
  <c r="D31" i="2"/>
  <c r="F36" i="5"/>
  <c r="D28" i="2" s="1"/>
  <c r="F35" i="5"/>
  <c r="D27" i="2" s="1"/>
  <c r="F31" i="5"/>
  <c r="D23" i="2" s="1"/>
  <c r="F30" i="5"/>
  <c r="D22" i="2" s="1"/>
  <c r="F26" i="5"/>
  <c r="D18" i="2" s="1"/>
  <c r="F25" i="5"/>
  <c r="F21" i="5"/>
  <c r="D13" i="2" s="1"/>
  <c r="F20" i="5"/>
  <c r="D12" i="2" s="1"/>
  <c r="F10" i="5"/>
  <c r="D2" i="2" s="1"/>
  <c r="E37" i="5"/>
  <c r="E36" i="5"/>
  <c r="E35" i="5"/>
  <c r="E32" i="5"/>
  <c r="E31" i="5"/>
  <c r="E30" i="5"/>
  <c r="E27" i="5"/>
  <c r="E26" i="5"/>
  <c r="E25" i="5"/>
  <c r="E22" i="5"/>
  <c r="E21" i="5"/>
  <c r="E20" i="5"/>
  <c r="E10" i="5"/>
  <c r="D13" i="5"/>
  <c r="D14" i="5"/>
  <c r="D18" i="5"/>
  <c r="D19" i="5"/>
  <c r="D23" i="5"/>
  <c r="D24" i="5"/>
  <c r="D28" i="5"/>
  <c r="D29" i="5"/>
  <c r="D33" i="5"/>
  <c r="D34" i="5"/>
  <c r="D38" i="5"/>
  <c r="D39" i="5"/>
  <c r="C37" i="5"/>
  <c r="C36" i="5"/>
  <c r="C35" i="5"/>
  <c r="C32" i="5"/>
  <c r="D32" i="5" s="1"/>
  <c r="C31" i="5"/>
  <c r="D31" i="5" s="1"/>
  <c r="C30" i="5"/>
  <c r="C25" i="5"/>
  <c r="C26" i="5"/>
  <c r="D26" i="5" s="1"/>
  <c r="C27" i="5"/>
  <c r="C22" i="5"/>
  <c r="C21" i="5"/>
  <c r="C20" i="5"/>
  <c r="D20" i="5" s="1"/>
  <c r="C12" i="5"/>
  <c r="D12" i="5" s="1"/>
  <c r="C10" i="5"/>
  <c r="C3" i="5"/>
  <c r="C4" i="5"/>
  <c r="C5" i="5"/>
  <c r="C2" i="5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12" i="4"/>
  <c r="Q10" i="4"/>
  <c r="Q11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P8" i="4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P31" i="4" s="1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G3" i="1"/>
  <c r="G4" i="1"/>
  <c r="G5" i="1"/>
  <c r="G6" i="1"/>
  <c r="G7" i="1"/>
  <c r="U29" i="4" l="1"/>
  <c r="V29" i="4" s="1"/>
  <c r="Y29" i="4" s="1"/>
  <c r="U30" i="4"/>
  <c r="V30" i="4" s="1"/>
  <c r="O7" i="9" s="1"/>
  <c r="U31" i="4"/>
  <c r="V31" i="4" s="1"/>
  <c r="AB31" i="4" s="1"/>
  <c r="H31" i="2" s="1"/>
  <c r="H7" i="1"/>
  <c r="U28" i="4"/>
  <c r="V28" i="4" s="1"/>
  <c r="Z28" i="4" s="1"/>
  <c r="I6" i="1"/>
  <c r="U26" i="4" s="1"/>
  <c r="V26" i="4" s="1"/>
  <c r="AC26" i="4" s="1"/>
  <c r="J7" i="1"/>
  <c r="D7" i="10"/>
  <c r="H7" i="10" s="1"/>
  <c r="AC31" i="4"/>
  <c r="AA31" i="4"/>
  <c r="G31" i="2" s="1"/>
  <c r="L31" i="2" s="1"/>
  <c r="Y27" i="4"/>
  <c r="W27" i="4"/>
  <c r="Z27" i="4"/>
  <c r="X27" i="4"/>
  <c r="AA27" i="4"/>
  <c r="G27" i="2" s="1"/>
  <c r="I27" i="2" s="1"/>
  <c r="N27" i="2" s="1"/>
  <c r="O27" i="2" s="1"/>
  <c r="AC27" i="4" s="1"/>
  <c r="AA28" i="4"/>
  <c r="G28" i="2" s="1"/>
  <c r="I28" i="2" s="1"/>
  <c r="AC30" i="4"/>
  <c r="P9" i="4"/>
  <c r="P7" i="4"/>
  <c r="S7" i="4" s="1"/>
  <c r="Q8" i="4"/>
  <c r="S8" i="4"/>
  <c r="T8" i="4"/>
  <c r="R8" i="4"/>
  <c r="Q7" i="4"/>
  <c r="T7" i="4"/>
  <c r="R7" i="4"/>
  <c r="T9" i="4"/>
  <c r="S9" i="4"/>
  <c r="R9" i="4"/>
  <c r="Q9" i="4"/>
  <c r="D10" i="5"/>
  <c r="E24" i="2"/>
  <c r="K13" i="5"/>
  <c r="L13" i="5" s="1"/>
  <c r="E5" i="6" s="1"/>
  <c r="F5" i="6" s="1"/>
  <c r="C3" i="6"/>
  <c r="E12" i="2"/>
  <c r="L12" i="5"/>
  <c r="E4" i="6" s="1"/>
  <c r="F4" i="6" s="1"/>
  <c r="D30" i="5"/>
  <c r="E28" i="2"/>
  <c r="D21" i="5"/>
  <c r="D37" i="5"/>
  <c r="D27" i="5"/>
  <c r="E13" i="2"/>
  <c r="D36" i="5"/>
  <c r="C5" i="6"/>
  <c r="D22" i="5"/>
  <c r="E19" i="2"/>
  <c r="D35" i="5"/>
  <c r="AB27" i="4" s="1"/>
  <c r="H27" i="2" s="1"/>
  <c r="M27" i="2" s="1"/>
  <c r="E17" i="2"/>
  <c r="E2" i="2"/>
  <c r="E23" i="2"/>
  <c r="E14" i="2"/>
  <c r="E22" i="2"/>
  <c r="E27" i="2"/>
  <c r="E18" i="2"/>
  <c r="D25" i="5"/>
  <c r="E29" i="2"/>
  <c r="P2" i="4"/>
  <c r="P4" i="4"/>
  <c r="R4" i="4" s="1"/>
  <c r="P3" i="4"/>
  <c r="R3" i="4" s="1"/>
  <c r="P6" i="4"/>
  <c r="Q6" i="4" s="1"/>
  <c r="P5" i="4"/>
  <c r="Q5" i="4" s="1"/>
  <c r="T31" i="4"/>
  <c r="Q31" i="4"/>
  <c r="R31" i="4"/>
  <c r="S31" i="4"/>
  <c r="T2" i="4"/>
  <c r="Q2" i="4"/>
  <c r="R2" i="4"/>
  <c r="S2" i="4"/>
  <c r="W29" i="4" l="1"/>
  <c r="X30" i="4"/>
  <c r="X28" i="4"/>
  <c r="AB26" i="4"/>
  <c r="H26" i="2" s="1"/>
  <c r="I26" i="2" s="1"/>
  <c r="G6" i="6"/>
  <c r="H6" i="6" s="1"/>
  <c r="J6" i="6" s="1"/>
  <c r="W28" i="4"/>
  <c r="W30" i="4"/>
  <c r="Y28" i="4"/>
  <c r="I5" i="1"/>
  <c r="U19" i="4" s="1"/>
  <c r="V19" i="4" s="1"/>
  <c r="AB19" i="4" s="1"/>
  <c r="H19" i="2" s="1"/>
  <c r="M19" i="2" s="1"/>
  <c r="H6" i="1"/>
  <c r="Y30" i="4"/>
  <c r="X26" i="4"/>
  <c r="AB30" i="4"/>
  <c r="H30" i="2" s="1"/>
  <c r="I30" i="2" s="1"/>
  <c r="W26" i="4"/>
  <c r="Y26" i="4"/>
  <c r="Z30" i="4"/>
  <c r="U23" i="4"/>
  <c r="V23" i="4" s="1"/>
  <c r="X23" i="4" s="1"/>
  <c r="AA26" i="4"/>
  <c r="G26" i="2" s="1"/>
  <c r="L26" i="2" s="1"/>
  <c r="Y31" i="4"/>
  <c r="U24" i="4"/>
  <c r="V24" i="4" s="1"/>
  <c r="AB24" i="4" s="1"/>
  <c r="H24" i="2" s="1"/>
  <c r="M24" i="2" s="1"/>
  <c r="Z26" i="4"/>
  <c r="X31" i="4"/>
  <c r="U25" i="4"/>
  <c r="V25" i="4" s="1"/>
  <c r="AB25" i="4" s="1"/>
  <c r="H25" i="2" s="1"/>
  <c r="I25" i="2" s="1"/>
  <c r="D6" i="10"/>
  <c r="H6" i="10" s="1"/>
  <c r="W31" i="4"/>
  <c r="AB28" i="4"/>
  <c r="H28" i="2" s="1"/>
  <c r="M28" i="2" s="1"/>
  <c r="U22" i="4"/>
  <c r="V22" i="4" s="1"/>
  <c r="Z22" i="4" s="1"/>
  <c r="Z31" i="4"/>
  <c r="J6" i="1"/>
  <c r="J26" i="2" s="1"/>
  <c r="Z29" i="4"/>
  <c r="AA29" i="4"/>
  <c r="G29" i="2" s="1"/>
  <c r="I29" i="2" s="1"/>
  <c r="K29" i="2" s="1"/>
  <c r="AB29" i="4"/>
  <c r="H29" i="2" s="1"/>
  <c r="M29" i="2" s="1"/>
  <c r="AA30" i="4"/>
  <c r="G30" i="2" s="1"/>
  <c r="L30" i="2" s="1"/>
  <c r="X29" i="4"/>
  <c r="L29" i="2"/>
  <c r="L28" i="2"/>
  <c r="L27" i="2"/>
  <c r="E6" i="14"/>
  <c r="G6" i="14" s="1"/>
  <c r="E15" i="5"/>
  <c r="F15" i="5"/>
  <c r="D7" i="2" s="1"/>
  <c r="E7" i="2" s="1"/>
  <c r="C15" i="5"/>
  <c r="C17" i="5"/>
  <c r="E17" i="5"/>
  <c r="E9" i="2" s="1"/>
  <c r="C16" i="5"/>
  <c r="F16" i="5"/>
  <c r="D8" i="2" s="1"/>
  <c r="E16" i="5"/>
  <c r="T4" i="4"/>
  <c r="S4" i="4"/>
  <c r="E12" i="5"/>
  <c r="E4" i="2" s="1"/>
  <c r="K28" i="2"/>
  <c r="C28" i="8"/>
  <c r="G28" i="8" s="1"/>
  <c r="H28" i="8" s="1"/>
  <c r="C28" i="7"/>
  <c r="I28" i="7" s="1"/>
  <c r="J28" i="7" s="1"/>
  <c r="N28" i="2"/>
  <c r="O28" i="2" s="1"/>
  <c r="AC28" i="4" s="1"/>
  <c r="AH9" i="4" s="1"/>
  <c r="K27" i="2"/>
  <c r="C27" i="8"/>
  <c r="G27" i="8" s="1"/>
  <c r="H27" i="8" s="1"/>
  <c r="C27" i="7"/>
  <c r="I27" i="7" s="1"/>
  <c r="J27" i="7" s="1"/>
  <c r="K14" i="5"/>
  <c r="C6" i="6" s="1"/>
  <c r="K15" i="5"/>
  <c r="L14" i="5"/>
  <c r="E6" i="6" s="1"/>
  <c r="F6" i="6" s="1"/>
  <c r="M30" i="2"/>
  <c r="I31" i="2"/>
  <c r="M31" i="2"/>
  <c r="Q3" i="4"/>
  <c r="T3" i="4"/>
  <c r="T5" i="4"/>
  <c r="S5" i="4"/>
  <c r="T6" i="4"/>
  <c r="S3" i="4"/>
  <c r="S6" i="4"/>
  <c r="R5" i="4"/>
  <c r="R6" i="4"/>
  <c r="W25" i="4" l="1"/>
  <c r="X25" i="4"/>
  <c r="M25" i="2"/>
  <c r="AA24" i="4"/>
  <c r="G24" i="2" s="1"/>
  <c r="L24" i="2" s="1"/>
  <c r="W24" i="4"/>
  <c r="Y25" i="4"/>
  <c r="AC25" i="4"/>
  <c r="Z25" i="4"/>
  <c r="C29" i="8"/>
  <c r="G29" i="8" s="1"/>
  <c r="H29" i="8" s="1"/>
  <c r="N29" i="2"/>
  <c r="O29" i="2" s="1"/>
  <c r="AC29" i="4" s="1"/>
  <c r="AF9" i="4" s="1"/>
  <c r="Y24" i="4"/>
  <c r="C29" i="7"/>
  <c r="I29" i="7" s="1"/>
  <c r="J29" i="7" s="1"/>
  <c r="M7" i="7" s="1"/>
  <c r="X24" i="4"/>
  <c r="Z24" i="4"/>
  <c r="U21" i="4"/>
  <c r="V21" i="4" s="1"/>
  <c r="W21" i="4" s="1"/>
  <c r="J25" i="2"/>
  <c r="AA22" i="4"/>
  <c r="G22" i="2" s="1"/>
  <c r="L22" i="2" s="1"/>
  <c r="W23" i="4"/>
  <c r="AA25" i="4"/>
  <c r="G25" i="2" s="1"/>
  <c r="L25" i="2" s="1"/>
  <c r="Y23" i="4"/>
  <c r="O6" i="9"/>
  <c r="Z23" i="4"/>
  <c r="M26" i="2"/>
  <c r="J23" i="2"/>
  <c r="K6" i="6"/>
  <c r="L6" i="6" s="1"/>
  <c r="W22" i="4"/>
  <c r="H5" i="1"/>
  <c r="Y22" i="4"/>
  <c r="J5" i="1"/>
  <c r="J21" i="2" s="1"/>
  <c r="X22" i="4"/>
  <c r="U18" i="4"/>
  <c r="V18" i="4" s="1"/>
  <c r="X18" i="4" s="1"/>
  <c r="U20" i="4"/>
  <c r="V20" i="4" s="1"/>
  <c r="Y20" i="4" s="1"/>
  <c r="J22" i="2"/>
  <c r="J24" i="2"/>
  <c r="AB22" i="4"/>
  <c r="H22" i="2" s="1"/>
  <c r="M22" i="2" s="1"/>
  <c r="AA23" i="4"/>
  <c r="G23" i="2" s="1"/>
  <c r="AB23" i="4"/>
  <c r="H23" i="2" s="1"/>
  <c r="M23" i="2" s="1"/>
  <c r="I4" i="1"/>
  <c r="U14" i="4" s="1"/>
  <c r="V14" i="4" s="1"/>
  <c r="U17" i="4"/>
  <c r="V17" i="4" s="1"/>
  <c r="AB17" i="4" s="1"/>
  <c r="H17" i="2" s="1"/>
  <c r="M17" i="2" s="1"/>
  <c r="C7" i="10"/>
  <c r="G7" i="10" s="1"/>
  <c r="I7" i="10" s="1"/>
  <c r="D7" i="11"/>
  <c r="C7" i="11" s="1"/>
  <c r="G7" i="11" s="1"/>
  <c r="M7" i="9"/>
  <c r="Y19" i="4"/>
  <c r="W19" i="4"/>
  <c r="Z19" i="4"/>
  <c r="X19" i="4"/>
  <c r="AA19" i="4"/>
  <c r="G19" i="2" s="1"/>
  <c r="D15" i="5"/>
  <c r="D16" i="5"/>
  <c r="D17" i="5"/>
  <c r="E8" i="2"/>
  <c r="C11" i="5"/>
  <c r="E11" i="5"/>
  <c r="F11" i="5"/>
  <c r="D3" i="2" s="1"/>
  <c r="K31" i="2"/>
  <c r="K33" i="2" s="1"/>
  <c r="C31" i="7"/>
  <c r="C31" i="8"/>
  <c r="G31" i="8" s="1"/>
  <c r="H31" i="8" s="1"/>
  <c r="K7" i="8" s="1"/>
  <c r="K25" i="2"/>
  <c r="C25" i="8"/>
  <c r="G25" i="8" s="1"/>
  <c r="H25" i="8" s="1"/>
  <c r="C25" i="7"/>
  <c r="K26" i="2"/>
  <c r="C26" i="8"/>
  <c r="G26" i="8" s="1"/>
  <c r="H26" i="8" s="1"/>
  <c r="C26" i="7"/>
  <c r="K30" i="2"/>
  <c r="C30" i="7"/>
  <c r="C30" i="8"/>
  <c r="G30" i="8" s="1"/>
  <c r="H30" i="8" s="1"/>
  <c r="M6" i="6" a="1"/>
  <c r="M6" i="6" s="1"/>
  <c r="L15" i="5"/>
  <c r="E7" i="6" s="1"/>
  <c r="F7" i="6" s="1"/>
  <c r="K7" i="6" s="1"/>
  <c r="C7" i="6"/>
  <c r="J18" i="2"/>
  <c r="J17" i="2"/>
  <c r="AA18" i="4" l="1"/>
  <c r="G18" i="2" s="1"/>
  <c r="AB18" i="4"/>
  <c r="H18" i="2" s="1"/>
  <c r="M18" i="2" s="1"/>
  <c r="X17" i="4"/>
  <c r="AA17" i="4"/>
  <c r="G17" i="2" s="1"/>
  <c r="Y17" i="4"/>
  <c r="Z17" i="4"/>
  <c r="H4" i="1"/>
  <c r="J4" i="1"/>
  <c r="J15" i="2" s="1"/>
  <c r="J19" i="2"/>
  <c r="U15" i="4"/>
  <c r="V15" i="4" s="1"/>
  <c r="AA15" i="4" s="1"/>
  <c r="G15" i="2" s="1"/>
  <c r="L15" i="2" s="1"/>
  <c r="I3" i="1"/>
  <c r="U11" i="4" s="1"/>
  <c r="V11" i="4" s="1"/>
  <c r="O5" i="9"/>
  <c r="J20" i="2"/>
  <c r="AA20" i="4"/>
  <c r="G20" i="2" s="1"/>
  <c r="L20" i="2" s="1"/>
  <c r="U16" i="4"/>
  <c r="V16" i="4" s="1"/>
  <c r="X16" i="4" s="1"/>
  <c r="U12" i="4"/>
  <c r="V12" i="4" s="1"/>
  <c r="X12" i="4" s="1"/>
  <c r="U13" i="4"/>
  <c r="V13" i="4" s="1"/>
  <c r="Y13" i="4" s="1"/>
  <c r="I24" i="2"/>
  <c r="C24" i="8" s="1"/>
  <c r="G24" i="8" s="1"/>
  <c r="H24" i="8" s="1"/>
  <c r="I22" i="2"/>
  <c r="N22" i="2" s="1"/>
  <c r="O22" i="2" s="1"/>
  <c r="AC22" i="4" s="1"/>
  <c r="AB21" i="4"/>
  <c r="H21" i="2" s="1"/>
  <c r="I21" i="2" s="1"/>
  <c r="W18" i="4"/>
  <c r="X21" i="4"/>
  <c r="Y18" i="4"/>
  <c r="Z18" i="4"/>
  <c r="AC21" i="4"/>
  <c r="AB20" i="4"/>
  <c r="H20" i="2" s="1"/>
  <c r="L23" i="2"/>
  <c r="I23" i="2"/>
  <c r="AA21" i="4"/>
  <c r="G21" i="2" s="1"/>
  <c r="L21" i="2" s="1"/>
  <c r="D5" i="10"/>
  <c r="H5" i="10" s="1"/>
  <c r="AC20" i="4"/>
  <c r="Y21" i="4"/>
  <c r="Z20" i="4"/>
  <c r="W20" i="4"/>
  <c r="Z21" i="4"/>
  <c r="G5" i="6"/>
  <c r="H5" i="6" s="1"/>
  <c r="J5" i="6" s="1"/>
  <c r="X20" i="4"/>
  <c r="W17" i="4"/>
  <c r="X14" i="4"/>
  <c r="Y14" i="4"/>
  <c r="W14" i="4"/>
  <c r="Z14" i="4"/>
  <c r="AA14" i="4"/>
  <c r="G14" i="2" s="1"/>
  <c r="AB14" i="4"/>
  <c r="H14" i="2" s="1"/>
  <c r="M14" i="2" s="1"/>
  <c r="I20" i="2"/>
  <c r="M20" i="2"/>
  <c r="N7" i="9"/>
  <c r="P7" i="9" s="1"/>
  <c r="I18" i="2"/>
  <c r="L18" i="2"/>
  <c r="L17" i="2"/>
  <c r="I17" i="2"/>
  <c r="X15" i="4"/>
  <c r="AC15" i="4"/>
  <c r="O4" i="9"/>
  <c r="B7" i="11"/>
  <c r="L7" i="9"/>
  <c r="B7" i="14"/>
  <c r="D7" i="14" s="1"/>
  <c r="H7" i="14" s="1"/>
  <c r="B7" i="15" s="1"/>
  <c r="AG9" i="4"/>
  <c r="I19" i="2"/>
  <c r="L19" i="2"/>
  <c r="Z13" i="4"/>
  <c r="AA13" i="4"/>
  <c r="G13" i="2" s="1"/>
  <c r="AB13" i="4"/>
  <c r="H13" i="2" s="1"/>
  <c r="M13" i="2" s="1"/>
  <c r="N6" i="6"/>
  <c r="O6" i="6"/>
  <c r="D11" i="5"/>
  <c r="E3" i="2"/>
  <c r="L7" i="6"/>
  <c r="M7" i="6" a="1"/>
  <c r="M7" i="6" s="1"/>
  <c r="J12" i="2"/>
  <c r="J16" i="2"/>
  <c r="I2" i="1"/>
  <c r="K24" i="2" l="1"/>
  <c r="J13" i="2"/>
  <c r="AB15" i="4"/>
  <c r="H15" i="2" s="1"/>
  <c r="X13" i="4"/>
  <c r="C22" i="8"/>
  <c r="G22" i="8" s="1"/>
  <c r="H22" i="8" s="1"/>
  <c r="J14" i="2"/>
  <c r="Z16" i="4"/>
  <c r="W15" i="4"/>
  <c r="Y15" i="4"/>
  <c r="C24" i="7"/>
  <c r="I24" i="7" s="1"/>
  <c r="J24" i="7" s="1"/>
  <c r="W13" i="4"/>
  <c r="J3" i="1"/>
  <c r="J8" i="2" s="1"/>
  <c r="K22" i="2"/>
  <c r="H3" i="1"/>
  <c r="Z15" i="4"/>
  <c r="N24" i="2"/>
  <c r="O24" i="2" s="1"/>
  <c r="AC24" i="4" s="1"/>
  <c r="AB16" i="4"/>
  <c r="H16" i="2" s="1"/>
  <c r="I16" i="2" s="1"/>
  <c r="AA16" i="4"/>
  <c r="G16" i="2" s="1"/>
  <c r="L16" i="2" s="1"/>
  <c r="Y12" i="4"/>
  <c r="W16" i="4"/>
  <c r="U7" i="4"/>
  <c r="V7" i="4" s="1"/>
  <c r="AB7" i="4" s="1"/>
  <c r="H7" i="2" s="1"/>
  <c r="M7" i="2" s="1"/>
  <c r="AA12" i="4"/>
  <c r="G12" i="2" s="1"/>
  <c r="L12" i="2" s="1"/>
  <c r="Z12" i="4"/>
  <c r="W12" i="4"/>
  <c r="Y16" i="4"/>
  <c r="U10" i="4"/>
  <c r="V10" i="4" s="1"/>
  <c r="W10" i="4" s="1"/>
  <c r="M21" i="2"/>
  <c r="AB12" i="4"/>
  <c r="H12" i="2" s="1"/>
  <c r="M12" i="2" s="1"/>
  <c r="G4" i="6"/>
  <c r="H4" i="6" s="1"/>
  <c r="J4" i="6" s="1"/>
  <c r="AC16" i="4"/>
  <c r="U8" i="4"/>
  <c r="V8" i="4" s="1"/>
  <c r="AB8" i="4" s="1"/>
  <c r="H8" i="2" s="1"/>
  <c r="M8" i="2" s="1"/>
  <c r="D4" i="10"/>
  <c r="H4" i="10" s="1"/>
  <c r="C22" i="7"/>
  <c r="I22" i="7" s="1"/>
  <c r="J22" i="7" s="1"/>
  <c r="U9" i="4"/>
  <c r="V9" i="4" s="1"/>
  <c r="W9" i="4" s="1"/>
  <c r="C23" i="7"/>
  <c r="I23" i="7" s="1"/>
  <c r="J23" i="7" s="1"/>
  <c r="K23" i="2"/>
  <c r="C23" i="8"/>
  <c r="G23" i="8" s="1"/>
  <c r="H23" i="8" s="1"/>
  <c r="K6" i="8" s="1"/>
  <c r="N23" i="2"/>
  <c r="O23" i="2" s="1"/>
  <c r="AC23" i="4" s="1"/>
  <c r="AH8" i="4" s="1"/>
  <c r="C18" i="8"/>
  <c r="G18" i="8" s="1"/>
  <c r="H18" i="8" s="1"/>
  <c r="N18" i="2"/>
  <c r="O18" i="2" s="1"/>
  <c r="AC18" i="4" s="1"/>
  <c r="AH7" i="4" s="1"/>
  <c r="C18" i="7"/>
  <c r="I18" i="7" s="1"/>
  <c r="J18" i="7" s="1"/>
  <c r="K18" i="2"/>
  <c r="E5" i="14"/>
  <c r="G5" i="14" s="1"/>
  <c r="K5" i="6"/>
  <c r="AC10" i="4"/>
  <c r="Z10" i="4"/>
  <c r="O3" i="9"/>
  <c r="Y10" i="4"/>
  <c r="X10" i="4"/>
  <c r="AA10" i="4"/>
  <c r="G10" i="2" s="1"/>
  <c r="L10" i="2" s="1"/>
  <c r="AB10" i="4"/>
  <c r="H10" i="2" s="1"/>
  <c r="Q7" i="9"/>
  <c r="L14" i="2"/>
  <c r="I14" i="2"/>
  <c r="I12" i="2"/>
  <c r="AA9" i="4"/>
  <c r="G9" i="2" s="1"/>
  <c r="K19" i="2"/>
  <c r="C19" i="8"/>
  <c r="G19" i="8" s="1"/>
  <c r="H19" i="8" s="1"/>
  <c r="N19" i="2"/>
  <c r="O19" i="2" s="1"/>
  <c r="AC19" i="4" s="1"/>
  <c r="C19" i="7"/>
  <c r="I19" i="7" s="1"/>
  <c r="J19" i="7" s="1"/>
  <c r="C20" i="8"/>
  <c r="G20" i="8" s="1"/>
  <c r="H20" i="8" s="1"/>
  <c r="C20" i="7"/>
  <c r="K20" i="2"/>
  <c r="Y11" i="4"/>
  <c r="AC11" i="4"/>
  <c r="G3" i="6"/>
  <c r="D3" i="10"/>
  <c r="H3" i="10" s="1"/>
  <c r="Z11" i="4"/>
  <c r="AA11" i="4"/>
  <c r="G11" i="2" s="1"/>
  <c r="L11" i="2" s="1"/>
  <c r="X11" i="4"/>
  <c r="W11" i="4"/>
  <c r="AB11" i="4"/>
  <c r="H11" i="2" s="1"/>
  <c r="C21" i="7"/>
  <c r="C21" i="8"/>
  <c r="G21" i="8" s="1"/>
  <c r="H21" i="8" s="1"/>
  <c r="K21" i="2"/>
  <c r="M15" i="2"/>
  <c r="I15" i="2"/>
  <c r="K17" i="2"/>
  <c r="C17" i="8"/>
  <c r="G17" i="8" s="1"/>
  <c r="H17" i="8" s="1"/>
  <c r="C17" i="7"/>
  <c r="I17" i="7" s="1"/>
  <c r="J17" i="7" s="1"/>
  <c r="N17" i="2"/>
  <c r="O17" i="2" s="1"/>
  <c r="AC17" i="4" s="1"/>
  <c r="I13" i="2"/>
  <c r="L13" i="2"/>
  <c r="U6" i="4"/>
  <c r="V6" i="4" s="1"/>
  <c r="U5" i="4"/>
  <c r="V5" i="4" s="1"/>
  <c r="U3" i="4"/>
  <c r="V3" i="4" s="1"/>
  <c r="U2" i="4"/>
  <c r="V2" i="4" s="1"/>
  <c r="U4" i="4"/>
  <c r="V4" i="4" s="1"/>
  <c r="Y7" i="4"/>
  <c r="X7" i="4"/>
  <c r="Z7" i="4"/>
  <c r="W7" i="4"/>
  <c r="AA7" i="4"/>
  <c r="G7" i="2" s="1"/>
  <c r="N7" i="6"/>
  <c r="O7" i="6"/>
  <c r="C7" i="15" s="1"/>
  <c r="J7" i="2"/>
  <c r="J10" i="2"/>
  <c r="J11" i="2"/>
  <c r="K2" i="1"/>
  <c r="M16" i="2" l="1"/>
  <c r="M6" i="7"/>
  <c r="J9" i="2"/>
  <c r="W8" i="4"/>
  <c r="AA8" i="4"/>
  <c r="G8" i="2" s="1"/>
  <c r="Z9" i="4"/>
  <c r="X9" i="4"/>
  <c r="AB9" i="4"/>
  <c r="H9" i="2" s="1"/>
  <c r="M9" i="2" s="1"/>
  <c r="Z8" i="4"/>
  <c r="Y9" i="4"/>
  <c r="Y8" i="4"/>
  <c r="X8" i="4"/>
  <c r="H3" i="6"/>
  <c r="J3" i="6" s="1"/>
  <c r="AF8" i="4"/>
  <c r="M6" i="9"/>
  <c r="C6" i="10"/>
  <c r="G6" i="10" s="1"/>
  <c r="I6" i="10" s="1"/>
  <c r="D6" i="11"/>
  <c r="C6" i="11" s="1"/>
  <c r="G6" i="11" s="1"/>
  <c r="K12" i="2"/>
  <c r="C12" i="8"/>
  <c r="G12" i="8" s="1"/>
  <c r="H12" i="8" s="1"/>
  <c r="C12" i="7"/>
  <c r="I12" i="7" s="1"/>
  <c r="J12" i="7" s="1"/>
  <c r="N12" i="2"/>
  <c r="O12" i="2" s="1"/>
  <c r="AC12" i="4" s="1"/>
  <c r="AC5" i="4"/>
  <c r="AB5" i="4"/>
  <c r="H5" i="2" s="1"/>
  <c r="AA5" i="4"/>
  <c r="G5" i="2" s="1"/>
  <c r="L5" i="2" s="1"/>
  <c r="O2" i="9"/>
  <c r="W5" i="4"/>
  <c r="X5" i="4"/>
  <c r="Y5" i="4"/>
  <c r="Z5" i="4"/>
  <c r="W4" i="4"/>
  <c r="AB4" i="4"/>
  <c r="H4" i="2" s="1"/>
  <c r="M4" i="2" s="1"/>
  <c r="AA4" i="4"/>
  <c r="G4" i="2" s="1"/>
  <c r="X4" i="4"/>
  <c r="Z4" i="4"/>
  <c r="Y4" i="4"/>
  <c r="C15" i="8"/>
  <c r="G15" i="8" s="1"/>
  <c r="H15" i="8" s="1"/>
  <c r="K15" i="2"/>
  <c r="C15" i="7"/>
  <c r="AA2" i="4"/>
  <c r="G2" i="2" s="1"/>
  <c r="X2" i="4"/>
  <c r="W2" i="4"/>
  <c r="AB2" i="4"/>
  <c r="H2" i="2" s="1"/>
  <c r="M2" i="2" s="1"/>
  <c r="Z2" i="4"/>
  <c r="Y2" i="4"/>
  <c r="L7" i="2"/>
  <c r="I7" i="2"/>
  <c r="X3" i="4"/>
  <c r="Y3" i="4"/>
  <c r="W3" i="4"/>
  <c r="Z3" i="4"/>
  <c r="AA3" i="4"/>
  <c r="G3" i="2" s="1"/>
  <c r="N13" i="2"/>
  <c r="O13" i="2" s="1"/>
  <c r="AC13" i="4" s="1"/>
  <c r="AH6" i="4" s="1"/>
  <c r="K13" i="2"/>
  <c r="C13" i="7"/>
  <c r="I13" i="7" s="1"/>
  <c r="J13" i="7" s="1"/>
  <c r="C13" i="8"/>
  <c r="G13" i="8" s="1"/>
  <c r="H13" i="8" s="1"/>
  <c r="AB3" i="4"/>
  <c r="H3" i="2" s="1"/>
  <c r="M3" i="2" s="1"/>
  <c r="K14" i="2"/>
  <c r="C14" i="7"/>
  <c r="I14" i="7" s="1"/>
  <c r="J14" i="7" s="1"/>
  <c r="C14" i="8"/>
  <c r="G14" i="8" s="1"/>
  <c r="H14" i="8" s="1"/>
  <c r="N14" i="2"/>
  <c r="O14" i="2" s="1"/>
  <c r="AC14" i="4" s="1"/>
  <c r="C5" i="10"/>
  <c r="G5" i="10" s="1"/>
  <c r="I5" i="10" s="1"/>
  <c r="D5" i="11"/>
  <c r="C5" i="11" s="1"/>
  <c r="G5" i="11" s="1"/>
  <c r="M5" i="9"/>
  <c r="I8" i="2"/>
  <c r="L8" i="2"/>
  <c r="AC6" i="4"/>
  <c r="D2" i="10"/>
  <c r="H2" i="10" s="1"/>
  <c r="AA6" i="4"/>
  <c r="G6" i="2" s="1"/>
  <c r="L6" i="2" s="1"/>
  <c r="AB6" i="4"/>
  <c r="H6" i="2" s="1"/>
  <c r="G2" i="6"/>
  <c r="W6" i="4"/>
  <c r="X6" i="4"/>
  <c r="Y6" i="4"/>
  <c r="Z6" i="4"/>
  <c r="AF7" i="4"/>
  <c r="M5" i="7"/>
  <c r="K16" i="2"/>
  <c r="C16" i="7"/>
  <c r="C16" i="8"/>
  <c r="G16" i="8" s="1"/>
  <c r="H16" i="8" s="1"/>
  <c r="K5" i="8"/>
  <c r="I11" i="2"/>
  <c r="M11" i="2"/>
  <c r="I9" i="2"/>
  <c r="L9" i="2"/>
  <c r="M5" i="6" a="1"/>
  <c r="M5" i="6" s="1"/>
  <c r="L5" i="6"/>
  <c r="K4" i="6"/>
  <c r="E4" i="14"/>
  <c r="G4" i="14" s="1"/>
  <c r="I10" i="2"/>
  <c r="M10" i="2"/>
  <c r="H2" i="6" l="1"/>
  <c r="J2" i="6" s="1"/>
  <c r="K2" i="6" s="1"/>
  <c r="L6" i="9"/>
  <c r="B6" i="14"/>
  <c r="D6" i="14" s="1"/>
  <c r="H6" i="14" s="1"/>
  <c r="B6" i="15" s="1"/>
  <c r="B6" i="11"/>
  <c r="AG8" i="4"/>
  <c r="N6" i="9"/>
  <c r="P6" i="9" s="1"/>
  <c r="E2" i="14"/>
  <c r="G2" i="14" s="1"/>
  <c r="O5" i="6"/>
  <c r="N5" i="6"/>
  <c r="I6" i="2"/>
  <c r="M6" i="2"/>
  <c r="I5" i="2"/>
  <c r="M5" i="2"/>
  <c r="K9" i="2"/>
  <c r="C9" i="8"/>
  <c r="G9" i="8" s="1"/>
  <c r="H9" i="8" s="1"/>
  <c r="N9" i="2"/>
  <c r="O9" i="2" s="1"/>
  <c r="AC9" i="4" s="1"/>
  <c r="C9" i="7"/>
  <c r="I9" i="7" s="1"/>
  <c r="J9" i="7" s="1"/>
  <c r="B5" i="14"/>
  <c r="D5" i="14" s="1"/>
  <c r="H5" i="14" s="1"/>
  <c r="B5" i="15" s="1"/>
  <c r="B5" i="11"/>
  <c r="L5" i="9"/>
  <c r="AG7" i="4"/>
  <c r="L3" i="2"/>
  <c r="I3" i="2"/>
  <c r="AF6" i="4"/>
  <c r="D4" i="11"/>
  <c r="C4" i="11" s="1"/>
  <c r="G4" i="11" s="1"/>
  <c r="M4" i="9"/>
  <c r="C4" i="10"/>
  <c r="G4" i="10" s="1"/>
  <c r="I4" i="10" s="1"/>
  <c r="M4" i="7"/>
  <c r="K10" i="2"/>
  <c r="C10" i="8"/>
  <c r="G10" i="8" s="1"/>
  <c r="H10" i="8" s="1"/>
  <c r="C10" i="7"/>
  <c r="K11" i="2"/>
  <c r="C11" i="8"/>
  <c r="G11" i="8" s="1"/>
  <c r="H11" i="8" s="1"/>
  <c r="C11" i="7"/>
  <c r="K4" i="8"/>
  <c r="K8" i="2"/>
  <c r="C8" i="8"/>
  <c r="G8" i="8" s="1"/>
  <c r="H8" i="8" s="1"/>
  <c r="C8" i="7"/>
  <c r="I8" i="7" s="1"/>
  <c r="J8" i="7" s="1"/>
  <c r="N8" i="2"/>
  <c r="O8" i="2" s="1"/>
  <c r="AC8" i="4" s="1"/>
  <c r="AH5" i="4" s="1"/>
  <c r="L4" i="6"/>
  <c r="M4" i="6" a="1"/>
  <c r="M4" i="6" s="1"/>
  <c r="N5" i="9"/>
  <c r="P5" i="9" s="1"/>
  <c r="L2" i="2"/>
  <c r="I2" i="2"/>
  <c r="C7" i="8"/>
  <c r="G7" i="8" s="1"/>
  <c r="H7" i="8" s="1"/>
  <c r="C7" i="7"/>
  <c r="I7" i="7" s="1"/>
  <c r="J7" i="7" s="1"/>
  <c r="K7" i="2"/>
  <c r="N7" i="2"/>
  <c r="O7" i="2" s="1"/>
  <c r="AC7" i="4" s="1"/>
  <c r="L4" i="2"/>
  <c r="I4" i="2"/>
  <c r="K3" i="6"/>
  <c r="E3" i="14"/>
  <c r="G3" i="14" s="1"/>
  <c r="C6" i="15" l="1"/>
  <c r="Q6" i="9"/>
  <c r="C5" i="15"/>
  <c r="N4" i="9"/>
  <c r="P4" i="9" s="1"/>
  <c r="Q4" i="9" s="1"/>
  <c r="N4" i="2"/>
  <c r="O4" i="2" s="1"/>
  <c r="AC4" i="4" s="1"/>
  <c r="C4" i="8"/>
  <c r="G4" i="8" s="1"/>
  <c r="H4" i="8" s="1"/>
  <c r="C4" i="7"/>
  <c r="I4" i="7" s="1"/>
  <c r="J4" i="7" s="1"/>
  <c r="K4" i="2"/>
  <c r="N2" i="2"/>
  <c r="O2" i="2" s="1"/>
  <c r="AC2" i="4" s="1"/>
  <c r="K2" i="2"/>
  <c r="C2" i="8"/>
  <c r="G2" i="8" s="1"/>
  <c r="H2" i="8" s="1"/>
  <c r="C2" i="7"/>
  <c r="I2" i="7" s="1"/>
  <c r="J2" i="7" s="1"/>
  <c r="L3" i="6"/>
  <c r="M3" i="6" a="1"/>
  <c r="M3" i="6" s="1"/>
  <c r="C5" i="8"/>
  <c r="G5" i="8" s="1"/>
  <c r="H5" i="8" s="1"/>
  <c r="K5" i="2"/>
  <c r="C5" i="7"/>
  <c r="Q5" i="9"/>
  <c r="O4" i="6"/>
  <c r="N4" i="6"/>
  <c r="C6" i="8"/>
  <c r="G6" i="8" s="1"/>
  <c r="H6" i="8" s="1"/>
  <c r="C6" i="7"/>
  <c r="K6" i="2"/>
  <c r="AF5" i="4"/>
  <c r="M3" i="9"/>
  <c r="D3" i="11"/>
  <c r="C3" i="11" s="1"/>
  <c r="G3" i="11" s="1"/>
  <c r="C3" i="10"/>
  <c r="G3" i="10" s="1"/>
  <c r="I3" i="10" s="1"/>
  <c r="B4" i="11"/>
  <c r="L4" i="9"/>
  <c r="B4" i="14"/>
  <c r="D4" i="14" s="1"/>
  <c r="H4" i="14" s="1"/>
  <c r="B4" i="15" s="1"/>
  <c r="AG6" i="4"/>
  <c r="N3" i="2"/>
  <c r="O3" i="2" s="1"/>
  <c r="AC3" i="4" s="1"/>
  <c r="C3" i="8"/>
  <c r="G3" i="8" s="1"/>
  <c r="H3" i="8" s="1"/>
  <c r="K3" i="2"/>
  <c r="C3" i="7"/>
  <c r="I3" i="7" s="1"/>
  <c r="J3" i="7" s="1"/>
  <c r="M3" i="7"/>
  <c r="K3" i="8"/>
  <c r="M2" i="6" a="1"/>
  <c r="M2" i="6" s="1"/>
  <c r="L2" i="6"/>
  <c r="C4" i="15" l="1"/>
  <c r="N3" i="9"/>
  <c r="P3" i="9" s="1"/>
  <c r="Q3" i="9" s="1"/>
  <c r="K2" i="8"/>
  <c r="N2" i="6"/>
  <c r="O2" i="6"/>
  <c r="N3" i="6"/>
  <c r="O3" i="6"/>
  <c r="AF4" i="4"/>
  <c r="AH4" i="4"/>
  <c r="L3" i="9"/>
  <c r="B3" i="11"/>
  <c r="B3" i="14"/>
  <c r="D3" i="14" s="1"/>
  <c r="H3" i="14" s="1"/>
  <c r="B3" i="15" s="1"/>
  <c r="AG5" i="4"/>
  <c r="M2" i="7"/>
  <c r="C3" i="15" l="1"/>
  <c r="B2" i="11"/>
  <c r="B2" i="14"/>
  <c r="D2" i="14" s="1"/>
  <c r="H2" i="14" s="1"/>
  <c r="B2" i="15" s="1"/>
  <c r="L2" i="9"/>
  <c r="AG4" i="4"/>
  <c r="D2" i="11"/>
  <c r="C2" i="11" s="1"/>
  <c r="G2" i="11" s="1"/>
  <c r="C2" i="10"/>
  <c r="G2" i="10" s="1"/>
  <c r="I2" i="10" s="1"/>
  <c r="M2" i="9"/>
  <c r="N2" i="9" s="1"/>
  <c r="P2" i="9" s="1"/>
  <c r="C2" i="15" s="1"/>
  <c r="Q2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<sst xmlns="http://schemas.openxmlformats.org/spreadsheetml/2006/main" count="541" uniqueCount="162">
  <si>
    <t>Phase</t>
    <phoneticPr fontId="1" type="noConversion"/>
  </si>
  <si>
    <t>φ (User)</t>
  </si>
  <si>
    <t>ψ (Repeat)</t>
  </si>
  <si>
    <t>χ (Partner)</t>
    <phoneticPr fontId="1" type="noConversion"/>
  </si>
  <si>
    <t>g_k (monthly)</t>
    <phoneticPr fontId="1" type="noConversion"/>
  </si>
  <si>
    <t>m_k(months)</t>
    <phoneticPr fontId="1" type="noConversion"/>
  </si>
  <si>
    <t>F_k = φ×ψ×χ</t>
  </si>
  <si>
    <t>GMV_start (B)</t>
    <phoneticPr fontId="1" type="noConversion"/>
  </si>
  <si>
    <t>GMV_end (B)</t>
  </si>
  <si>
    <t>GMV_avg (B)</t>
  </si>
  <si>
    <t>P0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</si>
  <si>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</si>
  <si>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</si>
  <si>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</si>
  <si>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</si>
  <si>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P5</t>
    <phoneticPr fontId="1" type="noConversion"/>
  </si>
  <si>
    <t>Total F (product)</t>
    <phoneticPr fontId="1" type="noConversion"/>
  </si>
  <si>
    <t>N/A</t>
    <phoneticPr fontId="1" type="noConversion"/>
  </si>
  <si>
    <t>Layer</t>
    <phoneticPr fontId="1" type="noConversion"/>
  </si>
  <si>
    <t>r</t>
    <phoneticPr fontId="1" type="noConversion"/>
  </si>
  <si>
    <t>R</t>
    <phoneticPr fontId="1" type="noConversion"/>
  </si>
  <si>
    <t>p</t>
    <phoneticPr fontId="1" type="noConversion"/>
  </si>
  <si>
    <t>d</t>
    <phoneticPr fontId="1" type="noConversion"/>
  </si>
  <si>
    <r>
      <t>v</t>
    </r>
    <r>
      <rPr>
        <sz val="12"/>
        <color theme="1"/>
        <rFont val="Arial"/>
        <family val="2"/>
        <charset val="1"/>
      </rPr>
      <t>ˢ</t>
    </r>
    <r>
      <rPr>
        <sz val="12"/>
        <color theme="1"/>
        <rFont val="Arial"/>
        <family val="2"/>
      </rPr>
      <t>ᵉᶜ</t>
    </r>
    <r>
      <rPr>
        <sz val="12"/>
        <color theme="1"/>
        <rFont val="맑은 고딕"/>
        <family val="2"/>
        <charset val="129"/>
        <scheme val="minor"/>
      </rPr>
      <t xml:space="preserve"> (B)</t>
    </r>
    <phoneticPr fontId="1" type="noConversion"/>
  </si>
  <si>
    <r>
      <t>v</t>
    </r>
    <r>
      <rPr>
        <sz val="12"/>
        <color theme="1"/>
        <rFont val="Arial"/>
        <family val="2"/>
        <charset val="129"/>
      </rPr>
      <t>ᵖʳ</t>
    </r>
    <r>
      <rPr>
        <sz val="12"/>
        <color theme="1"/>
        <rFont val="Cambria Math"/>
        <family val="2"/>
        <charset val="129"/>
      </rPr>
      <t>ⁱ</t>
    </r>
    <r>
      <rPr>
        <sz val="12"/>
        <color theme="1"/>
        <rFont val="Arial"/>
        <family val="2"/>
        <charset val="129"/>
      </rPr>
      <t>ᵐ</t>
    </r>
    <r>
      <rPr>
        <sz val="12"/>
        <color theme="1"/>
        <rFont val="맑은 고딕"/>
        <family val="2"/>
        <charset val="129"/>
        <scheme val="minor"/>
      </rPr>
      <t xml:space="preserve"> (B)</t>
    </r>
    <phoneticPr fontId="1" type="noConversion"/>
  </si>
  <si>
    <t>L1</t>
  </si>
  <si>
    <t>L1</t>
    <phoneticPr fontId="1" type="noConversion"/>
  </si>
  <si>
    <t>L2</t>
  </si>
  <si>
    <t>L2</t>
    <phoneticPr fontId="1" type="noConversion"/>
  </si>
  <si>
    <t>VS</t>
  </si>
  <si>
    <t>VS</t>
    <phoneticPr fontId="1" type="noConversion"/>
  </si>
  <si>
    <t>Partner</t>
  </si>
  <si>
    <t>Partner</t>
    <phoneticPr fontId="1" type="noConversion"/>
  </si>
  <si>
    <t>L3</t>
  </si>
  <si>
    <t>L3</t>
    <phoneticPr fontId="1" type="noConversion"/>
  </si>
  <si>
    <t>-</t>
    <phoneticPr fontId="1" type="noConversion"/>
  </si>
  <si>
    <t>α_ℓ^(p) (Layer share)</t>
  </si>
  <si>
    <t>β_Spot^(p)</t>
  </si>
  <si>
    <t>β_Perps^(p)</t>
  </si>
  <si>
    <t>β_RWA^(p)</t>
    <phoneticPr fontId="1" type="noConversion"/>
  </si>
  <si>
    <t>β_RE^(p)</t>
    <phoneticPr fontId="1" type="noConversion"/>
  </si>
  <si>
    <t>m_(ℓ,Spot)</t>
    <phoneticPr fontId="1" type="noConversion"/>
  </si>
  <si>
    <t>m_(ℓ,Perps)</t>
    <phoneticPr fontId="1" type="noConversion"/>
  </si>
  <si>
    <t>m_(ℓ,RWA)</t>
    <phoneticPr fontId="1" type="noConversion"/>
  </si>
  <si>
    <t>m_(ℓ,RE)</t>
  </si>
  <si>
    <t>score_Spot</t>
    <phoneticPr fontId="1" type="noConversion"/>
  </si>
  <si>
    <t>score_Perps</t>
    <phoneticPr fontId="1" type="noConversion"/>
  </si>
  <si>
    <t>score_RWA</t>
    <phoneticPr fontId="1" type="noConversion"/>
  </si>
  <si>
    <t>score_RE</t>
  </si>
  <si>
    <t>score_sum</t>
    <phoneticPr fontId="1" type="noConversion"/>
  </si>
  <si>
    <t>w_Spot</t>
  </si>
  <si>
    <t>w_Perps</t>
    <phoneticPr fontId="1" type="noConversion"/>
  </si>
  <si>
    <t>w_RWA</t>
  </si>
  <si>
    <t>w_RE</t>
    <phoneticPr fontId="1" type="noConversion"/>
  </si>
  <si>
    <t>GMV_total^(p) (Phase별 평균 GMV)</t>
  </si>
  <si>
    <t>GMV_layer = α·GMV_total</t>
    <phoneticPr fontId="1" type="noConversion"/>
  </si>
  <si>
    <t>GMV_(ℓ,Spot)</t>
    <phoneticPr fontId="1" type="noConversion"/>
  </si>
  <si>
    <t>GMV_(ℓ,Perps)</t>
  </si>
  <si>
    <t>GMV_(ℓ,RWA)</t>
  </si>
  <si>
    <t>GMV_(ℓ,RE)</t>
    <phoneticPr fontId="1" type="noConversion"/>
  </si>
  <si>
    <t>Pi_prim</t>
    <phoneticPr fontId="1" type="noConversion"/>
  </si>
  <si>
    <t>Pi_sec</t>
    <phoneticPr fontId="1" type="noConversion"/>
  </si>
  <si>
    <t>Vprim(B)</t>
    <phoneticPr fontId="1" type="noConversion"/>
  </si>
  <si>
    <t>Vsec(B)</t>
    <phoneticPr fontId="1" type="noConversion"/>
  </si>
  <si>
    <t>Spot</t>
    <phoneticPr fontId="1" type="noConversion"/>
  </si>
  <si>
    <t>Perps</t>
    <phoneticPr fontId="1" type="noConversion"/>
  </si>
  <si>
    <t>RWA</t>
    <phoneticPr fontId="1" type="noConversion"/>
  </si>
  <si>
    <t>RE</t>
    <phoneticPr fontId="1" type="noConversion"/>
  </si>
  <si>
    <t>Type</t>
    <phoneticPr fontId="1" type="noConversion"/>
  </si>
  <si>
    <t>Phi_type</t>
    <phoneticPr fontId="1" type="noConversion"/>
  </si>
  <si>
    <t>Phi_layer</t>
    <phoneticPr fontId="1" type="noConversion"/>
  </si>
  <si>
    <r>
      <t>AUM</t>
    </r>
    <r>
      <rPr>
        <sz val="12"/>
        <color theme="1"/>
        <rFont val="Segoe UI Symbol"/>
        <family val="2"/>
        <charset val="129"/>
      </rPr>
      <t>ₖ</t>
    </r>
    <r>
      <rPr>
        <sz val="12"/>
        <color theme="1"/>
        <rFont val="맑은 고딕"/>
        <family val="2"/>
        <charset val="129"/>
        <scheme val="minor"/>
      </rPr>
      <t>,</t>
    </r>
    <r>
      <rPr>
        <sz val="12"/>
        <color theme="1"/>
        <rFont val="Segoe UI Symbol"/>
        <family val="2"/>
        <charset val="129"/>
      </rPr>
      <t>ₗ</t>
    </r>
    <r>
      <rPr>
        <sz val="12"/>
        <color theme="1"/>
        <rFont val="맑은 고딕"/>
        <family val="2"/>
        <charset val="129"/>
        <scheme val="minor"/>
      </rPr>
      <t xml:space="preserve"> (B)</t>
    </r>
    <phoneticPr fontId="1" type="noConversion"/>
  </si>
  <si>
    <r>
      <t> Scale s</t>
    </r>
    <r>
      <rPr>
        <sz val="12"/>
        <color theme="1"/>
        <rFont val="Segoe UI Symbol"/>
        <family val="2"/>
        <charset val="129"/>
      </rPr>
      <t>ₖ</t>
    </r>
    <phoneticPr fontId="1" type="noConversion"/>
  </si>
  <si>
    <r>
      <t>AUM</t>
    </r>
    <r>
      <rPr>
        <sz val="12"/>
        <color theme="1"/>
        <rFont val="Segoe UI Symbol"/>
        <family val="2"/>
        <charset val="1"/>
      </rPr>
      <t>ₖ</t>
    </r>
    <r>
      <rPr>
        <sz val="12"/>
        <color theme="1"/>
        <rFont val="맑은 고딕"/>
        <family val="2"/>
        <charset val="129"/>
        <scheme val="minor"/>
      </rPr>
      <t>,</t>
    </r>
    <r>
      <rPr>
        <sz val="12"/>
        <color theme="1"/>
        <rFont val="Segoe UI Symbol"/>
        <family val="2"/>
        <charset val="1"/>
      </rPr>
      <t>ₗ</t>
    </r>
    <r>
      <rPr>
        <sz val="12"/>
        <color theme="1"/>
        <rFont val="맑은 고딕"/>
        <family val="2"/>
        <charset val="129"/>
        <scheme val="minor"/>
      </rPr>
      <t>(M)</t>
    </r>
    <phoneticPr fontId="1" type="noConversion"/>
  </si>
  <si>
    <r>
      <t>v</t>
    </r>
    <r>
      <rPr>
        <sz val="12"/>
        <color theme="1"/>
        <rFont val="Arial"/>
        <family val="2"/>
        <charset val="129"/>
      </rPr>
      <t>ᵖʳ</t>
    </r>
    <r>
      <rPr>
        <sz val="12"/>
        <color theme="1"/>
        <rFont val="Cambria Math"/>
        <family val="2"/>
        <charset val="129"/>
      </rPr>
      <t>ⁱ</t>
    </r>
    <r>
      <rPr>
        <sz val="12"/>
        <color theme="1"/>
        <rFont val="Arial"/>
        <family val="2"/>
        <charset val="129"/>
      </rPr>
      <t>ᵐ</t>
    </r>
    <r>
      <rPr>
        <sz val="12"/>
        <color theme="1"/>
        <rFont val="맑은 고딕"/>
        <family val="2"/>
        <charset val="129"/>
        <scheme val="minor"/>
      </rPr>
      <t xml:space="preserve"> (M)</t>
    </r>
    <phoneticPr fontId="1" type="noConversion"/>
  </si>
  <si>
    <r>
      <t>v</t>
    </r>
    <r>
      <rPr>
        <sz val="12"/>
        <color theme="1"/>
        <rFont val="Arial"/>
        <family val="2"/>
        <charset val="129"/>
      </rPr>
      <t>ˢᵉᶜ</t>
    </r>
    <r>
      <rPr>
        <sz val="12"/>
        <color theme="1"/>
        <rFont val="맑은 고딕"/>
        <family val="2"/>
        <charset val="129"/>
        <scheme val="minor"/>
      </rPr>
      <t xml:space="preserve"> (M)</t>
    </r>
    <phoneticPr fontId="1" type="noConversion"/>
  </si>
  <si>
    <t>r_type</t>
    <phoneticPr fontId="1" type="noConversion"/>
  </si>
  <si>
    <t>r_layer</t>
    <phoneticPr fontId="1" type="noConversion"/>
  </si>
  <si>
    <t>w_H</t>
    <phoneticPr fontId="1" type="noConversion"/>
  </si>
  <si>
    <t>multiplier</t>
    <phoneticPr fontId="1" type="noConversion"/>
  </si>
  <si>
    <t>Base Fee(Hype)</t>
    <phoneticPr fontId="1" type="noConversion"/>
  </si>
  <si>
    <t>δ (Discount Rate)</t>
    <phoneticPr fontId="1" type="noConversion"/>
  </si>
  <si>
    <r>
      <t>w</t>
    </r>
    <r>
      <rPr>
        <sz val="12"/>
        <color theme="1"/>
        <rFont val="Segoe UI Symbol"/>
        <family val="2"/>
        <charset val="1"/>
      </rPr>
      <t>ₙ</t>
    </r>
    <r>
      <rPr>
        <sz val="12"/>
        <color theme="1"/>
        <rFont val="맑은 고딕"/>
        <family val="2"/>
        <charset val="129"/>
        <scheme val="minor"/>
      </rPr>
      <t xml:space="preserve"> (Native Usage)</t>
    </r>
    <phoneticPr fontId="1" type="noConversion"/>
  </si>
  <si>
    <r>
      <t xml:space="preserve">Multiplier (1 </t>
    </r>
    <r>
      <rPr>
        <sz val="12"/>
        <color theme="1"/>
        <rFont val="Cambria Math"/>
        <family val="2"/>
      </rPr>
      <t>−</t>
    </r>
    <r>
      <rPr>
        <sz val="12"/>
        <color theme="1"/>
        <rFont val="맑은 고딕"/>
        <family val="2"/>
        <charset val="129"/>
        <scheme val="minor"/>
      </rPr>
      <t xml:space="preserve"> w</t>
    </r>
    <r>
      <rPr>
        <sz val="12"/>
        <color theme="1"/>
        <rFont val="Segoe UI Symbol"/>
        <family val="2"/>
        <charset val="1"/>
      </rPr>
      <t>ₙ</t>
    </r>
    <r>
      <rPr>
        <sz val="12"/>
        <color theme="1"/>
        <rFont val="맑은 고딕"/>
        <family val="2"/>
        <charset val="129"/>
        <scheme val="minor"/>
      </rPr>
      <t xml:space="preserve"> · δ)</t>
    </r>
    <phoneticPr fontId="1" type="noConversion"/>
  </si>
  <si>
    <t>Effective Fee (HYPE eqv.)</t>
    <phoneticPr fontId="1" type="noConversion"/>
  </si>
  <si>
    <t>Launch Count / mo</t>
    <phoneticPr fontId="1" type="noConversion"/>
  </si>
  <si>
    <t>F_L3</t>
    <phoneticPr fontId="1" type="noConversion"/>
  </si>
  <si>
    <t>$HYPE in USD</t>
    <phoneticPr fontId="1" type="noConversion"/>
  </si>
  <si>
    <t>$HIDE in USD</t>
    <phoneticPr fontId="1" type="noConversion"/>
  </si>
  <si>
    <t>$HIIN in USD</t>
    <phoneticPr fontId="1" type="noConversion"/>
  </si>
  <si>
    <t>USD in $HYPE</t>
    <phoneticPr fontId="1" type="noConversion"/>
  </si>
  <si>
    <t>USD in $HIDE</t>
    <phoneticPr fontId="1" type="noConversion"/>
  </si>
  <si>
    <t>USD in $HIIN</t>
    <phoneticPr fontId="1" type="noConversion"/>
  </si>
  <si>
    <t>Monthly Fee (HYPE)</t>
    <phoneticPr fontId="1" type="noConversion"/>
  </si>
  <si>
    <t xml:space="preserve">Annual Fee (HYPE) </t>
    <phoneticPr fontId="1" type="noConversion"/>
  </si>
  <si>
    <t>Monthly Fee (USD)</t>
    <phoneticPr fontId="1" type="noConversion"/>
  </si>
  <si>
    <t xml:space="preserve">Annual Fee (USD) </t>
    <phoneticPr fontId="1" type="noConversion"/>
  </si>
  <si>
    <t>Phase</t>
  </si>
  <si>
    <t>Layer</t>
  </si>
  <si>
    <t>base_rate_year</t>
    <phoneticPr fontId="1" type="noConversion"/>
  </si>
  <si>
    <r>
      <rPr>
        <sz val="12"/>
        <color theme="1"/>
        <rFont val="맑은 고딕"/>
        <family val="2"/>
        <charset val="129"/>
        <scheme val="minor"/>
      </rPr>
      <t>w</t>
    </r>
    <r>
      <rPr>
        <sz val="12"/>
        <color theme="1"/>
        <rFont val="Segoe UI Symbol"/>
        <family val="2"/>
        <charset val="1"/>
      </rPr>
      <t>ₙ</t>
    </r>
    <r>
      <rPr>
        <sz val="12"/>
        <color theme="1"/>
        <rFont val="맑은 고딕"/>
        <family val="2"/>
        <charset val="129"/>
        <scheme val="minor"/>
      </rPr>
      <t xml:space="preserve"> (Native Usage)</t>
    </r>
    <phoneticPr fontId="1" type="noConversion"/>
  </si>
  <si>
    <t>AUM(B)</t>
  </si>
  <si>
    <t>AUM(B)</t>
    <phoneticPr fontId="1" type="noConversion"/>
  </si>
  <si>
    <t>eff_rate_year</t>
    <phoneticPr fontId="1" type="noConversion"/>
  </si>
  <si>
    <t>Annual Fee (B)</t>
  </si>
  <si>
    <t>Annual Fee (B)</t>
    <phoneticPr fontId="1" type="noConversion"/>
  </si>
  <si>
    <t>Monthly Fee (B)</t>
    <phoneticPr fontId="1" type="noConversion"/>
  </si>
  <si>
    <r>
      <t>w</t>
    </r>
    <r>
      <rPr>
        <sz val="12"/>
        <color rgb="FF000000"/>
        <rFont val="Segoe UI Symbol"/>
        <family val="2"/>
      </rPr>
      <t>ₙ</t>
    </r>
    <r>
      <rPr>
        <sz val="12"/>
        <color rgb="FF000000"/>
        <rFont val="맑은 고딕"/>
        <family val="2"/>
        <charset val="129"/>
        <scheme val="minor"/>
      </rPr>
      <t xml:space="preserve"> (Native Usage)</t>
    </r>
  </si>
  <si>
    <t>P0</t>
  </si>
  <si>
    <t>P1</t>
  </si>
  <si>
    <t>P2</t>
  </si>
  <si>
    <t>P3</t>
  </si>
  <si>
    <t>P4</t>
  </si>
  <si>
    <t>P5</t>
  </si>
  <si>
    <t>Fee_rate</t>
    <phoneticPr fontId="1" type="noConversion"/>
  </si>
  <si>
    <t>VIP0_share</t>
    <phoneticPr fontId="1" type="noConversion"/>
  </si>
  <si>
    <t>VIP1_share</t>
    <phoneticPr fontId="1" type="noConversion"/>
  </si>
  <si>
    <t>VIP2_share</t>
    <phoneticPr fontId="1" type="noConversion"/>
  </si>
  <si>
    <t>VIP3_share</t>
    <phoneticPr fontId="1" type="noConversion"/>
  </si>
  <si>
    <t>VIP4_share</t>
    <phoneticPr fontId="1" type="noConversion"/>
  </si>
  <si>
    <t>Blended_Fee_rate</t>
    <phoneticPr fontId="1" type="noConversion"/>
  </si>
  <si>
    <t>wₙ (Native Usage)</t>
  </si>
  <si>
    <t>eff_fee</t>
    <phoneticPr fontId="1" type="noConversion"/>
  </si>
  <si>
    <t>f_partner</t>
    <phoneticPr fontId="1" type="noConversion"/>
  </si>
  <si>
    <t>GMV_internal(B)</t>
    <phoneticPr fontId="1" type="noConversion"/>
  </si>
  <si>
    <t>GMV_partner(B)</t>
    <phoneticPr fontId="1" type="noConversion"/>
  </si>
  <si>
    <t>Monthly Protocol Fee(B)</t>
    <phoneticPr fontId="1" type="noConversion"/>
  </si>
  <si>
    <t>Annual Protocol Fee(B)</t>
    <phoneticPr fontId="1" type="noConversion"/>
  </si>
  <si>
    <t>Graduation Ratio (θ)</t>
  </si>
  <si>
    <t>x_rebalancing(B)</t>
    <phoneticPr fontId="1" type="noConversion"/>
  </si>
  <si>
    <t>x_month (B)</t>
    <phoneticPr fontId="1" type="noConversion"/>
  </si>
  <si>
    <t>GMV_trade</t>
    <phoneticPr fontId="1" type="noConversion"/>
  </si>
  <si>
    <t>GMV_Canonical</t>
  </si>
  <si>
    <t>GMV_Canonical</t>
    <phoneticPr fontId="1" type="noConversion"/>
  </si>
  <si>
    <t>GMV_trade(B)</t>
    <phoneticPr fontId="1" type="noConversion"/>
  </si>
  <si>
    <t>f_canonical</t>
    <phoneticPr fontId="1" type="noConversion"/>
  </si>
  <si>
    <t>θ (Graduation Ratio)</t>
  </si>
  <si>
    <t>Rev_C_L2(B)</t>
  </si>
  <si>
    <t>Rev_C_L3(B)</t>
    <phoneticPr fontId="1" type="noConversion"/>
  </si>
  <si>
    <t>Rev_C_total(B)</t>
    <phoneticPr fontId="1" type="noConversion"/>
  </si>
  <si>
    <t>GMV_Canonical(B)</t>
    <phoneticPr fontId="1" type="noConversion"/>
  </si>
  <si>
    <t>GMV_L3(B)</t>
    <phoneticPr fontId="1" type="noConversion"/>
  </si>
  <si>
    <t>f_L3</t>
    <phoneticPr fontId="1" type="noConversion"/>
  </si>
  <si>
    <t>GMV_Trade(B)</t>
    <phoneticPr fontId="1" type="noConversion"/>
  </si>
  <si>
    <t>LP Fee(B)</t>
    <phoneticPr fontId="1" type="noConversion"/>
  </si>
  <si>
    <t>GMV_noncanonical</t>
    <phoneticPr fontId="1" type="noConversion"/>
  </si>
  <si>
    <t>GMV_canonical(B)</t>
    <phoneticPr fontId="1" type="noConversion"/>
  </si>
  <si>
    <t>f_non</t>
    <phoneticPr fontId="1" type="noConversion"/>
  </si>
  <si>
    <t>f_cano</t>
    <phoneticPr fontId="1" type="noConversion"/>
  </si>
  <si>
    <t>GMV_L1L2VS_non(B)</t>
    <phoneticPr fontId="1" type="noConversion"/>
  </si>
  <si>
    <t>f_interface</t>
    <phoneticPr fontId="1" type="noConversion"/>
  </si>
  <si>
    <t>Fee_fromtrade</t>
    <phoneticPr fontId="1" type="noConversion"/>
  </si>
  <si>
    <t>Graduation Count / mo</t>
  </si>
  <si>
    <t>Graduation Count / mo</t>
    <phoneticPr fontId="1" type="noConversion"/>
  </si>
  <si>
    <t>Fee_fromGrad</t>
    <phoneticPr fontId="1" type="noConversion"/>
  </si>
  <si>
    <t>Total Interface Fee(B)</t>
    <phoneticPr fontId="1" type="noConversion"/>
  </si>
  <si>
    <t>Monthly Fee(B)</t>
    <phoneticPr fontId="1" type="noConversion"/>
  </si>
  <si>
    <t>Monthly Fee_layer (B)</t>
    <phoneticPr fontId="1" type="noConversion"/>
  </si>
  <si>
    <t>Fee_per_Grad(B)</t>
    <phoneticPr fontId="1" type="noConversion"/>
  </si>
  <si>
    <t>열1</t>
  </si>
  <si>
    <t>Labs(M)</t>
    <phoneticPr fontId="1" type="noConversion"/>
  </si>
  <si>
    <t>Protocol(M)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</si>
</sst>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25" formatCode="\$#,##0.00_);\(\$#,##0.00\)"/>
    <numFmt numFmtId="26" formatCode="\$#,##0.00_);[Red]\(\$#,##0.00\)"/>
    <numFmt numFmtId="176" formatCode="_(* #,##0_);_(* \(#,##0\);_(* &quot;-&quot;_);_(@_)"/>
    <numFmt numFmtId="177" formatCode="\$#,##0.00"/>
    <numFmt numFmtId="178" formatCode="_([$$-409]* #,##0.00_);_([$$-409]* \(#,##0.00\);_([$$-409]* &quot;-&quot;??_);_(@_)"/>
    <numFmt numFmtId="179" formatCode="_-[$₩-412]* #,##0.00_-;\-[$₩-412]* #,##0.00_-;_-[$₩-412]* &quot;-&quot;??_-;_-@_-"/>
    <numFmt numFmtId="180" formatCode="_([$$-409]* #,##0.0000_);_([$$-409]* \(#,##0.0000\);_([$$-409]* &quot;-&quot;??_);_(@_)"/>
    <numFmt numFmtId="181" formatCode="0.0%"/>
    <numFmt numFmtId="182" formatCode="\$#,##0.0000000000_);\(\$#,##0.0000000000\)"/>
    <numFmt numFmtId="183" formatCode="\$#,##0.0000_);[Red]\(\$#,##0.0000\)"/>
    <numFmt numFmtId="184" formatCode="\$#,##0.00000_);[Red]\(\$#,##0.00000\)"/>
    <numFmt numFmtId="185" formatCode="\$#,##0.000000_);[Red]\(\$#,##0.000000\)"/>
    <numFmt numFmtId="186" formatCode="\$#,##0.00000000_);[Red]\(\$#,##0.00000000\)"/>
    <numFmt numFmtId="187" formatCode="0.000%"/>
    <numFmt numFmtId="188" formatCode="0.0000%"/>
    <numFmt numFmtId="189" formatCode="0.00000%"/>
    <numFmt numFmtId="190" formatCode="_([$$-409]* #,##0.000_);_([$$-409]* \(#,##0.000\);_([$$-409]* &quot;-&quot;??_);_(@_)"/>
    <numFmt numFmtId="191" formatCode="_([$$-409]* #,##0.00000_);_([$$-409]* \(#,##0.00000\);_([$$-409]* &quot;-&quot;??_);_(@_)"/>
    <numFmt numFmtId="192" formatCode="\$#,##0.000_);[Red]\(\$#,##0.000\)"/>
    <numFmt numFmtId="193" formatCode="_([$$-409]* #,##0.00000000_);_([$$-409]* \(#,##0.00000000\);_([$$-409]* &quot;-&quot;??_);_(@_)"/>
    <numFmt numFmtId="194" formatCode="_([$$-409]* #,##0_);_([$$-409]* \(#,##0\);_([$$-409]* &quot;-&quot;??_);_(@_)"/>
  </numFmts>
  <fonts count="13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  <charset val="1"/>
    </font>
    <font>
      <sz val="12"/>
      <color theme="1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Cambria Math"/>
      <family val="2"/>
      <charset val="129"/>
    </font>
    <font>
      <sz val="12"/>
      <color rgb="FF000000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Segoe UI Symbol"/>
      <family val="2"/>
      <charset val="129"/>
    </font>
    <font>
      <sz val="12"/>
      <color theme="1"/>
      <name val="Segoe UI Symbol"/>
      <family val="2"/>
      <charset val="1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Cambria Math"/>
      <family val="2"/>
    </font>
    <font>
      <sz val="12"/>
      <color rgb="FF000000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/>
    </xf>
    <xf numFmtId="26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2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9" fontId="6" fillId="0" borderId="0" xfId="1" applyFont="1" applyAlignment="1">
      <alignment horizontal="center" vertical="center"/>
    </xf>
    <xf numFmtId="0" fontId="10" fillId="0" borderId="0" xfId="0" applyFont="1">
      <alignment vertical="center"/>
    </xf>
    <xf numFmtId="38" fontId="0" fillId="0" borderId="0" xfId="0" applyNumberFormat="1">
      <alignment vertical="center"/>
    </xf>
    <xf numFmtId="9" fontId="0" fillId="0" borderId="0" xfId="1" applyFont="1">
      <alignment vertical="center"/>
    </xf>
    <xf numFmtId="9" fontId="0" fillId="0" borderId="0" xfId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8" fontId="0" fillId="0" borderId="0" xfId="2" applyNumberFormat="1" applyFon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81" fontId="0" fillId="0" borderId="0" xfId="1" applyNumberFormat="1" applyFont="1">
      <alignment vertical="center"/>
    </xf>
    <xf numFmtId="26" fontId="0" fillId="0" borderId="0" xfId="0" applyNumberFormat="1">
      <alignment vertical="center"/>
    </xf>
    <xf numFmtId="182" fontId="0" fillId="0" borderId="1" xfId="0" applyNumberFormat="1" applyBorder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3" fontId="0" fillId="0" borderId="0" xfId="0" applyNumberFormat="1">
      <alignment vertical="center"/>
    </xf>
    <xf numFmtId="184" fontId="0" fillId="0" borderId="0" xfId="0" applyNumberFormat="1">
      <alignment vertical="center"/>
    </xf>
    <xf numFmtId="0" fontId="6" fillId="0" borderId="0" xfId="0" applyFont="1">
      <alignment vertical="center"/>
    </xf>
    <xf numFmtId="49" fontId="6" fillId="0" borderId="1" xfId="0" applyNumberFormat="1" applyFont="1" applyBorder="1" applyAlignment="1">
      <alignment horizontal="center" vertical="center"/>
    </xf>
    <xf numFmtId="185" fontId="6" fillId="0" borderId="0" xfId="0" applyNumberFormat="1" applyFont="1">
      <alignment vertical="center"/>
    </xf>
    <xf numFmtId="9" fontId="6" fillId="0" borderId="0" xfId="0" applyNumberFormat="1" applyFont="1">
      <alignment vertical="center"/>
    </xf>
    <xf numFmtId="187" fontId="6" fillId="0" borderId="0" xfId="0" applyNumberFormat="1" applyFont="1">
      <alignment vertical="center"/>
    </xf>
    <xf numFmtId="0" fontId="6" fillId="3" borderId="0" xfId="0" applyFont="1" applyFill="1">
      <alignment vertical="center"/>
    </xf>
    <xf numFmtId="185" fontId="6" fillId="3" borderId="0" xfId="0" applyNumberFormat="1" applyFont="1" applyFill="1">
      <alignment vertical="center"/>
    </xf>
    <xf numFmtId="0" fontId="6" fillId="3" borderId="5" xfId="0" applyFont="1" applyFill="1" applyBorder="1" applyAlignment="1">
      <alignment horizontal="center" vertical="center"/>
    </xf>
    <xf numFmtId="10" fontId="6" fillId="0" borderId="0" xfId="1" applyNumberFormat="1" applyFont="1" applyAlignment="1">
      <alignment horizontal="center" vertical="center"/>
    </xf>
    <xf numFmtId="186" fontId="6" fillId="0" borderId="0" xfId="0" applyNumberFormat="1" applyFont="1">
      <alignment vertical="center"/>
    </xf>
    <xf numFmtId="185" fontId="6" fillId="0" borderId="1" xfId="0" applyNumberFormat="1" applyFont="1" applyBorder="1">
      <alignment vertical="center"/>
    </xf>
    <xf numFmtId="10" fontId="6" fillId="0" borderId="1" xfId="1" applyNumberFormat="1" applyFont="1" applyBorder="1" applyAlignment="1">
      <alignment horizontal="center" vertical="center"/>
    </xf>
    <xf numFmtId="9" fontId="6" fillId="0" borderId="1" xfId="0" applyNumberFormat="1" applyFont="1" applyBorder="1">
      <alignment vertical="center"/>
    </xf>
    <xf numFmtId="187" fontId="6" fillId="0" borderId="1" xfId="0" applyNumberFormat="1" applyFont="1" applyBorder="1">
      <alignment vertical="center"/>
    </xf>
    <xf numFmtId="186" fontId="6" fillId="0" borderId="1" xfId="0" applyNumberFormat="1" applyFont="1" applyBorder="1">
      <alignment vertical="center"/>
    </xf>
    <xf numFmtId="10" fontId="0" fillId="0" borderId="0" xfId="1" applyNumberFormat="1" applyFont="1">
      <alignment vertical="center"/>
    </xf>
    <xf numFmtId="188" fontId="0" fillId="0" borderId="0" xfId="1" applyNumberFormat="1" applyFont="1">
      <alignment vertical="center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189" fontId="0" fillId="0" borderId="0" xfId="0" applyNumberFormat="1">
      <alignment vertical="center"/>
    </xf>
    <xf numFmtId="25" fontId="0" fillId="0" borderId="1" xfId="0" applyNumberFormat="1" applyBorder="1" applyAlignment="1">
      <alignment horizontal="center" vertical="center"/>
    </xf>
    <xf numFmtId="26" fontId="0" fillId="0" borderId="1" xfId="0" applyNumberFormat="1" applyBorder="1">
      <alignment vertical="center"/>
    </xf>
    <xf numFmtId="178" fontId="0" fillId="0" borderId="0" xfId="1" applyNumberFormat="1" applyFont="1">
      <alignment vertical="center"/>
    </xf>
    <xf numFmtId="190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190" fontId="0" fillId="0" borderId="0" xfId="0" applyNumberFormat="1">
      <alignment vertical="center"/>
    </xf>
    <xf numFmtId="180" fontId="0" fillId="0" borderId="0" xfId="0" applyNumberFormat="1">
      <alignment vertical="center"/>
    </xf>
    <xf numFmtId="191" fontId="0" fillId="0" borderId="0" xfId="0" applyNumberFormat="1">
      <alignment vertical="center"/>
    </xf>
    <xf numFmtId="192" fontId="0" fillId="0" borderId="0" xfId="0" applyNumberFormat="1">
      <alignment vertical="center"/>
    </xf>
    <xf numFmtId="0" fontId="0" fillId="2" borderId="6" xfId="0" applyFill="1" applyBorder="1">
      <alignment vertical="center"/>
    </xf>
    <xf numFmtId="0" fontId="10" fillId="2" borderId="6" xfId="0" applyFont="1" applyFill="1" applyBorder="1">
      <alignment vertical="center"/>
    </xf>
    <xf numFmtId="193" fontId="0" fillId="0" borderId="0" xfId="0" applyNumberFormat="1">
      <alignment vertical="center"/>
    </xf>
    <xf numFmtId="185" fontId="0" fillId="2" borderId="0" xfId="0" applyNumberFormat="1" applyFill="1" applyAlignment="1">
      <alignment horizontal="center" vertical="center"/>
    </xf>
    <xf numFmtId="185" fontId="0" fillId="0" borderId="1" xfId="0" applyNumberFormat="1" applyBorder="1" applyAlignment="1">
      <alignment horizontal="center" vertical="center"/>
    </xf>
    <xf numFmtId="181" fontId="0" fillId="0" borderId="1" xfId="1" applyNumberFormat="1" applyFont="1" applyBorder="1" applyAlignment="1">
      <alignment horizontal="center" vertical="center"/>
    </xf>
    <xf numFmtId="187" fontId="0" fillId="0" borderId="1" xfId="0" applyNumberFormat="1" applyBorder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81" fontId="0" fillId="0" borderId="0" xfId="1" applyNumberFormat="1" applyFon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94" fontId="0" fillId="0" borderId="0" xfId="0" applyNumberFormat="1">
      <alignment vertical="center"/>
    </xf>
  </cellXfs>
  <cellStyles count="3">
    <cellStyle name="백분율" xfId="1" builtinId="5"/>
    <cellStyle name="쉼표 [0]" xfId="2" builtinId="6"/>
    <cellStyle name="표준" xfId="0" builtinId="0"/>
  </cellStyles>
  <dxfs count="45">
    <dxf>
      <numFmt numFmtId="185" formatCode="\$#,##0.000000_);[Red]\(\$#,##0.000000\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numFmt numFmtId="185" formatCode="\$#,##0.000000_);[Red]\(\$#,##0.000000\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numFmt numFmtId="193" formatCode="_([$$-409]* #,##0.00000000_);_([$$-409]* \(#,##0.00000000\);_([$$-409]* &quot;-&quot;??_);_(@_)"/>
    </dxf>
    <dxf>
      <numFmt numFmtId="178" formatCode="_([$$-409]* #,##0.00_);_([$$-409]* \(#,##0.00\);_([$$-409]* &quot;-&quot;??_);_(@_)"/>
    </dxf>
    <dxf>
      <numFmt numFmtId="178" formatCode="_([$$-409]* #,##0.00_);_([$$-409]* \(#,##0.00\);_([$$-409]* &quot;-&quot;??_);_(@_)"/>
    </dxf>
    <dxf>
      <numFmt numFmtId="195" formatCode="#,##0_);[Red]\(#,##0\)"/>
    </dxf>
    <dxf>
      <numFmt numFmtId="195" formatCode="#,##0_);[Red]\(#,##0\)"/>
    </dxf>
    <dxf>
      <numFmt numFmtId="195" formatCode="#,##0_);[Red]\(#,##0\)"/>
    </dxf>
    <dxf>
      <numFmt numFmtId="14" formatCode="0.00%"/>
    </dxf>
    <dxf>
      <numFmt numFmtId="195" formatCode="#,##0_);[Red]\(#,##0\)"/>
    </dxf>
    <dxf>
      <numFmt numFmtId="0" formatCode="General"/>
    </dxf>
    <dxf>
      <numFmt numFmtId="0" formatCode="General"/>
    </dxf>
    <dxf>
      <numFmt numFmtId="183" formatCode="\$#,##0.0000_);[Red]\(\$#,##0.0000\)"/>
    </dxf>
    <dxf>
      <numFmt numFmtId="39" formatCode="\$#,##0.00_);[Red]\(\$#,##0.00\)"/>
    </dxf>
    <dxf>
      <numFmt numFmtId="39" formatCode="\$#,##0.00_);[Red]\(\$#,##0.00\)"/>
    </dxf>
    <dxf>
      <numFmt numFmtId="195" formatCode="#,##0_);[Red]\(#,##0\)"/>
      <alignment horizontal="center" vertical="center" textRotation="0" wrapText="0" indent="0" justifyLastLine="0" shrinkToFit="0" readingOrder="0"/>
    </dxf>
    <dxf>
      <numFmt numFmtId="195" formatCode="#,##0_);[Red]\(#,##0\)"/>
      <alignment horizontal="center" vertical="center" textRotation="0" wrapText="0" indent="0" justifyLastLine="0" shrinkToFit="0" readingOrder="0"/>
    </dxf>
    <dxf>
      <numFmt numFmtId="195" formatCode="#,##0_);[Red]\(#,##0\)"/>
      <alignment horizontal="center" vertical="center" textRotation="0" wrapText="0" indent="0" justifyLastLine="0" shrinkToFit="0" readingOrder="0"/>
    </dxf>
    <dxf>
      <numFmt numFmtId="195" formatCode="#,##0_);[Red]\(#,##0\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80" formatCode="_([$$-409]* #,##0.0000_);_([$$-409]* \(#,##0.0000\);_([$$-409]* &quot;-&quot;??_);_(@_)"/>
      <alignment horizontal="center" vertical="center" textRotation="0" wrapText="0" indent="0" justifyLastLine="0" shrinkToFit="0" readingOrder="0"/>
    </dxf>
    <dxf>
      <numFmt numFmtId="180" formatCode="_([$$-409]* #,##0.0000_);_([$$-409]* \(#,##0.0000\);_([$$-409]* &quot;-&quot;??_);_(@_)"/>
      <alignment horizontal="center" vertical="center" textRotation="0" wrapText="0" indent="0" justifyLastLine="0" shrinkToFit="0" readingOrder="0"/>
    </dxf>
    <dxf>
      <numFmt numFmtId="178" formatCode="_([$$-409]* #,##0.00_);_([$$-409]* \(#,##0.00\);_([$$-409]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맑은 고딕"/>
        <charset val="129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806450</xdr:colOff>
      <xdr:row>15</xdr:row>
      <xdr:rowOff>38100</xdr:rowOff>
    </xdr:from>
    <xdr:ext cx="923330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F7DCA5-B0C4-9EF0-B64D-77439BAE75BA}"/>
            </a:ext>
          </a:extLst>
        </xdr:cNvPr>
        <xdr:cNvSpPr txBox="1"/>
      </xdr:nvSpPr>
      <xdr:spPr>
        <a:xfrm>
          <a:off x="8426450" y="3467100"/>
          <a:ext cx="92333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altLang="ko-KR" sz="1100"/>
            <a:t>	</a:t>
          </a:r>
          <a:endParaRPr lang="ko-KR" altLang="en-US" sz="1100"/>
        </a:p>
      </xdr:txBody>
    </xdr:sp>
    <xdr:clientData/>
  </xdr:oneCellAnchor>
  <xdr:oneCellAnchor>
    <xdr:from>
      <xdr:col>8</xdr:col>
      <xdr:colOff>806450</xdr:colOff>
      <xdr:row>15</xdr:row>
      <xdr:rowOff>38100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E8F9C1-C052-1F51-57BC-C5C69A96EA5C}"/>
            </a:ext>
          </a:extLst>
        </xdr:cNvPr>
        <xdr:cNvSpPr txBox="1"/>
      </xdr:nvSpPr>
      <xdr:spPr>
        <a:xfrm>
          <a:off x="8426450" y="346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203200</xdr:colOff>
      <xdr:row>0</xdr:row>
      <xdr:rowOff>177800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E2462EF-72E2-0871-9323-664B9CD3B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0"/>
          <a:ext cx="2032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228600</xdr:colOff>
      <xdr:row>0</xdr:row>
      <xdr:rowOff>177800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013A48B-8A76-8BA8-EB24-DD4C8B935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0"/>
          <a:ext cx="228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BD1C6-A2D5-454A-9537-E20367BDC6D7}" name="표1" displayName="표1" ref="B9:F39" totalsRowShown="0" headerRowDxfId="44" dataDxfId="43">
  <autoFilter ref="B9:F39" xr:uid="{F8EBD1C6-A2D5-454A-9537-E20367BDC6D7}"/>
  <tableColumns count="5">
    <tableColumn id="1" xr3:uid="{4BE813E1-4E31-EF42-911B-75EC81EEA26C}" name="Layer" dataDxfId="42"/>
    <tableColumn id="2" xr3:uid="{A40BCAB7-4977-A044-B805-D6B76C9ECB84}" name="Pi_prim" dataDxfId="41" dataCellStyle="백분율"/>
    <tableColumn id="3" xr3:uid="{FE91C52A-B783-D546-8740-833595A4D13D}" name="Pi_sec" dataDxfId="40" dataCellStyle="백분율">
      <calculatedColumnFormula>1-표1[[#This Row],[Pi_prim]]</calculatedColumnFormula>
    </tableColumn>
    <tableColumn id="4" xr3:uid="{B129FAC9-AFA0-2C46-9B89-AD9074A764D3}" name="Phi_layer" dataDxfId="39" dataCellStyle="백분율"/>
    <tableColumn id="5" xr3:uid="{E09DC5DE-2947-9748-B24F-D10D1471B8B4}" name="r_layer" dataDxfId="38" dataCellStyle="백분율">
      <calculatedColumnFormula>E2*'GMV(Layer)'!Q2+E3*'GMV(Layer)'!R2+E4*'GMV(Layer)'!S2+E5*'GMV(Layer)'!T2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CD675F-D244-4B47-99BF-E3EEEBAFCD1F}" name="표2" displayName="표2" ref="H9:L15" totalsRowShown="0" headerRowDxfId="37" dataDxfId="36">
  <autoFilter ref="H9:L15" xr:uid="{44CD675F-D244-4B47-99BF-E3EEEBAFCD1F}"/>
  <tableColumns count="5">
    <tableColumn id="1" xr3:uid="{0A609D0D-3B05-2949-A24D-D70F8C4D4A5E}" name="Phase" dataDxfId="35"/>
    <tableColumn id="2" xr3:uid="{3DF04E6D-BE63-B34B-9856-F8F6EB29390D}" name="w_H" dataDxfId="34" dataCellStyle="백분율">
      <calculatedColumnFormula>1-표2[[#This Row],[wₙ (Native Usage)]]</calculatedColumnFormula>
    </tableColumn>
    <tableColumn id="3" xr3:uid="{C86D667E-4EB4-744E-937E-4278E1BAAF74}" name="wₙ (Native Usage)" dataDxfId="33" dataCellStyle="백분율"/>
    <tableColumn id="4" xr3:uid="{EC46973D-44AA-774E-8BFE-678DA7AEC559}" name="δ (Discount Rate)" dataDxfId="32" dataCellStyle="백분율"/>
    <tableColumn id="5" xr3:uid="{49E2AFCD-F47B-5446-B06F-DCA255EA1CE6}" name="multiplier" dataDxfId="31">
      <calculatedColumnFormula>1-표2[[#This Row],[wₙ (Native Usage)]]*표2[[#This Row],[δ (Discount Rate)]]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37D153-D0E0-F34A-8C72-5118422FB956}" name="표5" displayName="표5" ref="H20:J21" totalsRowShown="0" headerRowDxfId="30" dataDxfId="29">
  <autoFilter ref="H20:J21" xr:uid="{A637D153-D0E0-F34A-8C72-5118422FB956}"/>
  <tableColumns count="3">
    <tableColumn id="1" xr3:uid="{A0095AE8-02EE-D442-BA8F-C82484377F14}" name="$HYPE in USD" dataDxfId="28"/>
    <tableColumn id="2" xr3:uid="{E0EF9702-DDB0-0D47-A71D-E7B2EBB26B08}" name="$HIDE in USD" dataDxfId="27"/>
    <tableColumn id="3" xr3:uid="{E647D840-E5DA-D642-A4A9-1B64ACA5F695}" name="$HIIN in USD" dataDxfId="2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16F9A0-D7D5-9D4F-B5EE-D43F9C31FBA1}" name="표7" displayName="표7" ref="H23:J24" totalsRowShown="0" headerRowDxfId="25" dataDxfId="24" dataCellStyle="쉼표 [0]">
  <autoFilter ref="H23:J24" xr:uid="{C216F9A0-D7D5-9D4F-B5EE-D43F9C31FBA1}"/>
  <tableColumns count="3">
    <tableColumn id="1" xr3:uid="{E1D37BA1-FD81-3D42-92AA-F3C9D72BDF0F}" name="USD in $HYPE" dataDxfId="23" dataCellStyle="쉼표 [0]">
      <calculatedColumnFormula array="1">1/표5[$HYPE in USD]</calculatedColumnFormula>
    </tableColumn>
    <tableColumn id="2" xr3:uid="{D8F64239-B359-A645-8C42-7001FC867744}" name="USD in $HIDE" dataDxfId="22" dataCellStyle="쉼표 [0]">
      <calculatedColumnFormula array="1">1/표5[$HIDE in USD]</calculatedColumnFormula>
    </tableColumn>
    <tableColumn id="3" xr3:uid="{EB79CDB3-9802-7244-8114-045851570BD8}" name="USD in $HIIN" dataDxfId="21" dataCellStyle="쉼표 [0]">
      <calculatedColumnFormula array="1">1/표5[$HIIN in USD]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17F663-0404-AF4A-9A48-8C9585E67AE9}" name="표4" displayName="표4" ref="AE3:AH9" totalsRowShown="0">
  <autoFilter ref="AE3:AH9" xr:uid="{D317F663-0404-AF4A-9A48-8C9585E67AE9}"/>
  <tableColumns count="4">
    <tableColumn id="1" xr3:uid="{92E2422F-B2AA-BB43-B070-0A58B361B6E9}" name="Phase"/>
    <tableColumn id="2" xr3:uid="{8CBD2592-3DDC-FE4B-B3C4-F6FB48B9F29E}" name="GMV_trade(B)" dataDxfId="20">
      <calculatedColumnFormula>SUM(AC2:AC6)</calculatedColumnFormula>
    </tableColumn>
    <tableColumn id="3" xr3:uid="{F6AC760C-C305-5F4F-9A83-C9A57A779FB9}" name="GMV_noncanonical" dataDxfId="19">
      <calculatedColumnFormula>표4[[#This Row],[GMV_trade(B)]]-표4[[#This Row],[GMV_Canonical]]</calculatedColumnFormula>
    </tableColumn>
    <tableColumn id="4" xr3:uid="{33980270-2F3A-A04B-9F07-1477962ADC14}" name="GMV_Canonical" dataDxfId="18">
      <calculatedColumnFormula>AC23*'Launch Fee'!I2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805635-4852-FD42-8D18-898CD1BC0A90}" name="표3" displayName="표3" ref="A1:O7" totalsRowShown="0">
  <autoFilter ref="A1:O7" xr:uid="{53805635-4852-FD42-8D18-898CD1BC0A90}"/>
  <tableColumns count="15">
    <tableColumn id="1" xr3:uid="{BD827710-79E7-B148-9A3E-DB58C10106C2}" name="Phase"/>
    <tableColumn id="2" xr3:uid="{4ED0BB99-0D99-F143-919C-C98B89BFAB5B}" name="Base Fee(Hype)"/>
    <tableColumn id="3" xr3:uid="{13E0A318-0D1F-0843-8622-BF9BC3F7C7AE}" name="δ (Discount Rate)" dataCellStyle="백분율">
      <calculatedColumnFormula>Parameters!K10</calculatedColumnFormula>
    </tableColumn>
    <tableColumn id="4" xr3:uid="{B66E782F-DD8C-1643-9FAF-633ED2755A0A}" name="wₙ (Native Usage)" dataCellStyle="백분율">
      <calculatedColumnFormula>Parameters!J10</calculatedColumnFormula>
    </tableColumn>
    <tableColumn id="5" xr3:uid="{786184AC-508D-C145-AC75-199F383AB0CB}" name="Multiplier (1 − wₙ · δ)" dataDxfId="17">
      <calculatedColumnFormula>Parameters!L10</calculatedColumnFormula>
    </tableColumn>
    <tableColumn id="6" xr3:uid="{A7143738-B84C-3A4B-A333-394F73F05ACC}" name="Effective Fee (HYPE eqv.)" dataDxfId="16">
      <calculatedColumnFormula>표3[[#This Row],[Base Fee(Hype)]]*표3[[#This Row],[Multiplier (1 − wₙ · δ)]]</calculatedColumnFormula>
    </tableColumn>
    <tableColumn id="11" xr3:uid="{10488D4D-FE74-9141-B99B-B11551F103C0}" name="F_L3"/>
    <tableColumn id="7" xr3:uid="{88990258-D22C-8D42-A80A-8B6C3F9B238B}" name="Launch Count / mo" dataDxfId="15"/>
    <tableColumn id="16" xr3:uid="{7CB36E67-D379-144A-A035-54135AA27C69}" name="Graduation Ratio (θ)" dataDxfId="14" dataCellStyle="백분율"/>
    <tableColumn id="15" xr3:uid="{76ECC4B6-AD5D-7B41-A7C8-75EC98AC3191}" name="Graduation Count / mo" dataDxfId="13">
      <calculatedColumnFormula>표3[[#This Row],[Launch Count / mo]]*표3[[#This Row],[Graduation Ratio (θ)]]</calculatedColumnFormula>
    </tableColumn>
    <tableColumn id="8" xr3:uid="{33D90345-56A3-1D40-8B56-89CDF8B51320}" name="Monthly Fee (HYPE)" dataDxfId="12">
      <calculatedColumnFormula>표3[[#This Row],[Effective Fee (HYPE eqv.)]]*표3[[#This Row],[Graduation Count / mo]]</calculatedColumnFormula>
    </tableColumn>
    <tableColumn id="9" xr3:uid="{F7030DC7-07E7-7A4E-8D80-616231AC3744}" name="Annual Fee (HYPE) " dataDxfId="11">
      <calculatedColumnFormula>표3[[#This Row],[Monthly Fee (HYPE)]]*12</calculatedColumnFormula>
    </tableColumn>
    <tableColumn id="10" xr3:uid="{96C30B8F-57AF-0B41-A26B-8B24B674CE70}" name="Monthly Fee (USD)" dataDxfId="10">
      <calculatedColumnFormula array="1">표3[[#This Row],[Monthly Fee (HYPE)]]*표5[$HYPE in USD]</calculatedColumnFormula>
    </tableColumn>
    <tableColumn id="12" xr3:uid="{A3B37FCE-21B0-FC48-8F98-0692707A852E}" name="Annual Fee (USD) " dataDxfId="9">
      <calculatedColumnFormula>표3[[#This Row],[Monthly Fee (USD)]]*12</calculatedColumnFormula>
    </tableColumn>
    <tableColumn id="13" xr3:uid="{089BC2E0-8515-DC49-AF60-62B321A82BB7}" name="Monthly Fee (B)" dataDxfId="8">
      <calculatedColumnFormula>표3[[#This Row],[Monthly Fee (USD)]]/1000000000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06E29A-6EB3-8641-B04F-2ACF4A7B092D}" name="표6" displayName="표6" ref="L1:M7" totalsRowShown="0" headerRowDxfId="7" dataDxfId="6">
  <autoFilter ref="L1:M7" xr:uid="{4406E29A-6EB3-8641-B04F-2ACF4A7B092D}"/>
  <tableColumns count="2">
    <tableColumn id="1" xr3:uid="{122B8CCD-34D9-B34C-A047-28E38471D0EA}" name="Phase" dataDxfId="5"/>
    <tableColumn id="2" xr3:uid="{47D66B79-9F46-F545-967B-5FA3E9D7D05B}" name="Monthly Fee(B)" dataDxfId="4">
      <calculatedColumnFormula>SUM(J2:J4)</calculatedColumnFormula>
    </tableColumn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47B36F-B86F-7346-A9BA-32E17E049612}" name="표6_9" displayName="표6_9" ref="J1:K7" totalsRowShown="0" headerRowDxfId="3" dataDxfId="2">
  <autoFilter ref="J1:K7" xr:uid="{9847B36F-B86F-7346-A9BA-32E17E049612}"/>
  <tableColumns count="2">
    <tableColumn id="1" xr3:uid="{9CEE13AE-26A2-FE4C-81D2-5E8E24EA917A}" name="Phase" dataDxfId="1"/>
    <tableColumn id="2" xr3:uid="{7DA8A021-4790-B04B-8AD6-8DF6B14C9EC8}" name="열1" dataDxfId="0">
      <calculatedColumnFormula>SUM(H2:H6)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7D52-1A5F-8742-86CF-5D794FA744BD}">
  <dimension ref="A1:L39"/>
  <sheetViews>
    <sheetView topLeftCell="A2" zoomScale="87" workbookViewId="0">
      <selection activeCell="K12" sqref="K12"/>
    </sheetView>
  </sheetViews>
  <sheetFormatPr defaultColWidth="10.69140625" defaultRowHeight="17.5" x14ac:dyDescent="0.45"/>
  <cols>
    <col min="1" max="7" width="10.69140625" style="2"/>
    <col min="8" max="8" width="16.3046875" style="2" customWidth="1"/>
    <col min="9" max="9" width="21.84375" style="2" customWidth="1"/>
    <col min="10" max="10" width="20.53515625" style="2" customWidth="1"/>
    <col min="11" max="11" width="18.84375" style="2" customWidth="1"/>
    <col min="12" max="16384" width="10.69140625" style="2"/>
  </cols>
  <sheetData>
    <row r="1" spans="1:12" s="3" customFormat="1" x14ac:dyDescent="0.45">
      <c r="A1" s="3" t="s">
        <v>68</v>
      </c>
      <c r="B1" s="3" t="s">
        <v>60</v>
      </c>
      <c r="C1" s="3" t="s">
        <v>61</v>
      </c>
      <c r="D1" s="3" t="s">
        <v>69</v>
      </c>
      <c r="E1" s="3" t="s">
        <v>76</v>
      </c>
    </row>
    <row r="2" spans="1:12" s="6" customFormat="1" x14ac:dyDescent="0.45">
      <c r="A2" s="6" t="s">
        <v>64</v>
      </c>
      <c r="B2" s="15">
        <v>0.4</v>
      </c>
      <c r="C2" s="15">
        <f>1-B2</f>
        <v>0.6</v>
      </c>
      <c r="D2" s="15">
        <v>0.35</v>
      </c>
      <c r="E2" s="15">
        <v>0.03</v>
      </c>
    </row>
    <row r="3" spans="1:12" x14ac:dyDescent="0.45">
      <c r="A3" s="2" t="s">
        <v>65</v>
      </c>
      <c r="B3" s="17">
        <v>0.3</v>
      </c>
      <c r="C3" s="17">
        <f t="shared" ref="C3:C5" si="0">1-B3</f>
        <v>0.7</v>
      </c>
      <c r="D3" s="17">
        <v>0.5</v>
      </c>
      <c r="E3" s="17">
        <v>0.05</v>
      </c>
    </row>
    <row r="4" spans="1:12" x14ac:dyDescent="0.45">
      <c r="A4" s="2" t="s">
        <v>66</v>
      </c>
      <c r="B4" s="17">
        <v>0.2</v>
      </c>
      <c r="C4" s="17">
        <f t="shared" si="0"/>
        <v>0.8</v>
      </c>
      <c r="D4" s="17">
        <v>0.3</v>
      </c>
      <c r="E4" s="17">
        <v>0.05</v>
      </c>
    </row>
    <row r="5" spans="1:12" x14ac:dyDescent="0.45">
      <c r="A5" s="2" t="s">
        <v>67</v>
      </c>
      <c r="B5" s="17">
        <v>0</v>
      </c>
      <c r="C5" s="17">
        <f t="shared" si="0"/>
        <v>1</v>
      </c>
      <c r="D5" s="17">
        <v>0.25</v>
      </c>
      <c r="E5" s="17">
        <v>0.03</v>
      </c>
    </row>
    <row r="9" spans="1:12" s="3" customFormat="1" x14ac:dyDescent="0.45">
      <c r="A9" s="3" t="s">
        <v>0</v>
      </c>
      <c r="B9" s="3" t="s">
        <v>18</v>
      </c>
      <c r="C9" s="3" t="s">
        <v>60</v>
      </c>
      <c r="D9" s="3" t="s">
        <v>61</v>
      </c>
      <c r="E9" s="3" t="s">
        <v>70</v>
      </c>
      <c r="F9" s="3" t="s">
        <v>77</v>
      </c>
      <c r="H9" s="3" t="s">
        <v>0</v>
      </c>
      <c r="I9" s="3" t="s">
        <v>78</v>
      </c>
      <c r="J9" s="3" t="s">
        <v>82</v>
      </c>
      <c r="K9" s="3" t="s">
        <v>81</v>
      </c>
      <c r="L9" s="3" t="s">
        <v>79</v>
      </c>
    </row>
    <row r="10" spans="1:12" s="6" customFormat="1" x14ac:dyDescent="0.45">
      <c r="A10" s="6" t="s">
        <v>10</v>
      </c>
      <c r="B10" s="6" t="s">
        <v>26</v>
      </c>
      <c r="C10" s="15">
        <f>B2*'GMV(Layer)'!Q2</f>
        <v>0.4</v>
      </c>
      <c r="D10" s="15">
        <f>1-표1[[#This Row],[Pi_prim]]</f>
        <v>0.6</v>
      </c>
      <c r="E10" s="15">
        <f>D2*'GMV(Layer)'!Q2+D3*'GMV(Layer)'!R2+D4*'GMV(Layer)'!S2+D5*'GMV(Layer)'!T2</f>
        <v>0.35</v>
      </c>
      <c r="F10" s="15">
        <f>E2*'GMV(Layer)'!Q2+E3*'GMV(Layer)'!R2+E4*'GMV(Layer)'!S2+E5*'GMV(Layer)'!T2</f>
        <v>0.03</v>
      </c>
      <c r="H10" s="2" t="s">
        <v>10</v>
      </c>
      <c r="I10" s="26">
        <f>1-표2[[#This Row],[wₙ (Native Usage)]]</f>
        <v>1</v>
      </c>
      <c r="J10" s="26">
        <v>0</v>
      </c>
      <c r="K10" s="26">
        <v>0.2</v>
      </c>
      <c r="L10" s="2">
        <f>1-표2[[#This Row],[wₙ (Native Usage)]]*표2[[#This Row],[δ (Discount Rate)]]</f>
        <v>1</v>
      </c>
    </row>
    <row r="11" spans="1:12" x14ac:dyDescent="0.45">
      <c r="B11" s="2" t="s">
        <v>28</v>
      </c>
      <c r="C11" s="17">
        <f>B2*'GMV(Layer)'!Q3</f>
        <v>0.4</v>
      </c>
      <c r="D11" s="15">
        <f>1-표1[[#This Row],[Pi_prim]]</f>
        <v>0.6</v>
      </c>
      <c r="E11" s="17">
        <f>D2*'GMV(Layer)'!Q3+D3*'GMV(Layer)'!R3+D4*'GMV(Layer)'!S3+D5*'GMV(Layer)'!T3</f>
        <v>0.35</v>
      </c>
      <c r="F11" s="17">
        <f>E2*'GMV(Layer)'!Q3+E3*'GMV(Layer)'!R3+E4*'GMV(Layer)'!S3+E5*'GMV(Layer)'!T3</f>
        <v>0.03</v>
      </c>
      <c r="H11" s="2" t="s">
        <v>11</v>
      </c>
      <c r="I11" s="26">
        <f>1-표2[[#This Row],[wₙ (Native Usage)]]</f>
        <v>0.85</v>
      </c>
      <c r="J11" s="26">
        <v>0.15</v>
      </c>
      <c r="K11" s="26">
        <f>K10</f>
        <v>0.2</v>
      </c>
      <c r="L11" s="2">
        <f>1-표2[[#This Row],[wₙ (Native Usage)]]*표2[[#This Row],[δ (Discount Rate)]]</f>
        <v>0.97</v>
      </c>
    </row>
    <row r="12" spans="1:12" x14ac:dyDescent="0.45">
      <c r="B12" s="2" t="s">
        <v>30</v>
      </c>
      <c r="C12" s="17">
        <f>B2*'GMV(Layer)'!Q4</f>
        <v>0.4</v>
      </c>
      <c r="D12" s="15">
        <f>1-표1[[#This Row],[Pi_prim]]</f>
        <v>0.6</v>
      </c>
      <c r="E12" s="17">
        <f>D2*'GMV(Layer)'!Q4+D3*'GMV(Layer)'!R4+D4*'GMV(Layer)'!S4+D5*'GMV(Layer)'!T4</f>
        <v>0.35</v>
      </c>
      <c r="F12" s="17">
        <v>0.7</v>
      </c>
      <c r="H12" s="2" t="s">
        <v>12</v>
      </c>
      <c r="I12" s="26">
        <f>1-표2[[#This Row],[wₙ (Native Usage)]]</f>
        <v>0.75</v>
      </c>
      <c r="J12" s="26">
        <v>0.25</v>
      </c>
      <c r="K12" s="26">
        <f t="shared" ref="K12:K15" si="1">K11</f>
        <v>0.2</v>
      </c>
      <c r="L12" s="2">
        <f>1-표2[[#This Row],[wₙ (Native Usage)]]*표2[[#This Row],[δ (Discount Rate)]]</f>
        <v>0.95</v>
      </c>
    </row>
    <row r="13" spans="1:12" x14ac:dyDescent="0.45">
      <c r="B13" s="2" t="s">
        <v>32</v>
      </c>
      <c r="C13" s="17">
        <v>0</v>
      </c>
      <c r="D13" s="15">
        <f>1-표1[[#This Row],[Pi_prim]]</f>
        <v>1</v>
      </c>
      <c r="E13" s="17">
        <v>0</v>
      </c>
      <c r="F13" s="17" t="s">
        <v>35</v>
      </c>
      <c r="H13" s="2" t="s">
        <v>13</v>
      </c>
      <c r="I13" s="26">
        <f>1-표2[[#This Row],[wₙ (Native Usage)]]</f>
        <v>0.65</v>
      </c>
      <c r="J13" s="26">
        <v>0.35</v>
      </c>
      <c r="K13" s="26">
        <f t="shared" si="1"/>
        <v>0.2</v>
      </c>
      <c r="L13" s="2">
        <f>1-표2[[#This Row],[wₙ (Native Usage)]]*표2[[#This Row],[δ (Discount Rate)]]</f>
        <v>0.93</v>
      </c>
    </row>
    <row r="14" spans="1:12" x14ac:dyDescent="0.45">
      <c r="B14" s="2" t="s">
        <v>34</v>
      </c>
      <c r="C14" s="17">
        <v>0</v>
      </c>
      <c r="D14" s="15">
        <f>1-표1[[#This Row],[Pi_prim]]</f>
        <v>1</v>
      </c>
      <c r="E14" s="17">
        <v>0</v>
      </c>
      <c r="F14" s="17" t="s">
        <v>35</v>
      </c>
      <c r="H14" s="2" t="s">
        <v>14</v>
      </c>
      <c r="I14" s="26">
        <f>1-표2[[#This Row],[wₙ (Native Usage)]]</f>
        <v>0.55000000000000004</v>
      </c>
      <c r="J14" s="26">
        <v>0.45</v>
      </c>
      <c r="K14" s="26">
        <f t="shared" si="1"/>
        <v>0.2</v>
      </c>
      <c r="L14" s="2">
        <f>1-표2[[#This Row],[wₙ (Native Usage)]]*표2[[#This Row],[δ (Discount Rate)]]</f>
        <v>0.91</v>
      </c>
    </row>
    <row r="15" spans="1:12" s="6" customFormat="1" x14ac:dyDescent="0.45">
      <c r="A15" s="6" t="s">
        <v>11</v>
      </c>
      <c r="B15" s="6" t="s">
        <v>26</v>
      </c>
      <c r="C15" s="15">
        <f>B2*'GMV(Layer)'!Q7</f>
        <v>0.4</v>
      </c>
      <c r="D15" s="15">
        <f>1-표1[[#This Row],[Pi_prim]]</f>
        <v>0.6</v>
      </c>
      <c r="E15" s="15">
        <f>D2*'GMV(Layer)'!Q7+D3*'GMV(Layer)'!R7+D4*'GMV(Layer)'!S7+D5*'GMV(Layer)'!T7</f>
        <v>0.35</v>
      </c>
      <c r="F15" s="15">
        <f>E2*'GMV(Layer)'!Q7+E3*'GMV(Layer)'!R7+E4*'GMV(Layer)'!S7+E5*'GMV(Layer)'!T7</f>
        <v>0.03</v>
      </c>
      <c r="H15" s="2" t="s">
        <v>15</v>
      </c>
      <c r="I15" s="26">
        <f>1-표2[[#This Row],[wₙ (Native Usage)]]</f>
        <v>0.4</v>
      </c>
      <c r="J15" s="26">
        <v>0.6</v>
      </c>
      <c r="K15" s="26">
        <f t="shared" si="1"/>
        <v>0.2</v>
      </c>
      <c r="L15" s="2">
        <f>1-표2[[#This Row],[wₙ (Native Usage)]]*표2[[#This Row],[δ (Discount Rate)]]</f>
        <v>0.88</v>
      </c>
    </row>
    <row r="16" spans="1:12" x14ac:dyDescent="0.45">
      <c r="B16" s="2" t="s">
        <v>28</v>
      </c>
      <c r="C16" s="17">
        <f>B2*'GMV(Layer)'!Q8</f>
        <v>0.4</v>
      </c>
      <c r="D16" s="15">
        <f>1-표1[[#This Row],[Pi_prim]]</f>
        <v>0.6</v>
      </c>
      <c r="E16" s="17">
        <f>D2*'GMV(Layer)'!Q8+D3*'GMV(Layer)'!R8+D4*'GMV(Layer)'!S8+D5*'GMV(Layer)'!T8</f>
        <v>0.35</v>
      </c>
      <c r="F16" s="17">
        <f>E2*'GMV(Layer)'!Q8+E3*'GMV(Layer)'!R8+E4*'GMV(Layer)'!S8+E5*'GMV(Layer)'!T8</f>
        <v>0.03</v>
      </c>
    </row>
    <row r="17" spans="1:12" x14ac:dyDescent="0.45">
      <c r="B17" s="2" t="s">
        <v>30</v>
      </c>
      <c r="C17" s="17">
        <f>B2*'GMV(Layer)'!Q9</f>
        <v>0.4</v>
      </c>
      <c r="D17" s="15">
        <f>1-표1[[#This Row],[Pi_prim]]</f>
        <v>0.6</v>
      </c>
      <c r="E17" s="17">
        <f>D2*'GMV(Layer)'!Q9+D3*'GMV(Layer)'!R9+D4*'GMV(Layer)'!S9+D5*'GMV(Layer)'!T9</f>
        <v>0.35</v>
      </c>
      <c r="F17" s="17">
        <f>F12</f>
        <v>0.7</v>
      </c>
    </row>
    <row r="18" spans="1:12" x14ac:dyDescent="0.45">
      <c r="B18" s="2" t="s">
        <v>32</v>
      </c>
      <c r="C18" s="17">
        <v>0</v>
      </c>
      <c r="D18" s="15">
        <f>1-표1[[#This Row],[Pi_prim]]</f>
        <v>1</v>
      </c>
      <c r="E18" s="17">
        <v>0</v>
      </c>
      <c r="F18" s="17" t="s">
        <v>35</v>
      </c>
    </row>
    <row r="19" spans="1:12" x14ac:dyDescent="0.45">
      <c r="B19" s="2" t="s">
        <v>34</v>
      </c>
      <c r="C19" s="17">
        <v>0</v>
      </c>
      <c r="D19" s="15">
        <f>1-표1[[#This Row],[Pi_prim]]</f>
        <v>1</v>
      </c>
      <c r="E19" s="17">
        <v>0</v>
      </c>
      <c r="F19" s="17" t="s">
        <v>35</v>
      </c>
    </row>
    <row r="20" spans="1:12" s="6" customFormat="1" x14ac:dyDescent="0.45">
      <c r="A20" s="6" t="s">
        <v>12</v>
      </c>
      <c r="B20" s="6" t="s">
        <v>26</v>
      </c>
      <c r="C20" s="15">
        <f>B2*'GMV(Layer)'!Q12+B3*'GMV(Layer)'!R12+B4*'GMV(Layer)'!S12+B5*'GMV(Layer)'!T12</f>
        <v>0.37</v>
      </c>
      <c r="D20" s="15">
        <f>1-표1[[#This Row],[Pi_prim]]</f>
        <v>0.63</v>
      </c>
      <c r="E20" s="15">
        <f>D2*'GMV(Layer)'!Q12+D3*'GMV(Layer)'!R12+D4*'GMV(Layer)'!S12+D5*'GMV(Layer)'!T12</f>
        <v>0.39499999999999996</v>
      </c>
      <c r="F20" s="15">
        <f>E2*'GMV(Layer)'!Q12+E3*'GMV(Layer)'!R12+E4*'GMV(Layer)'!S12+E5*'GMV(Layer)'!T12</f>
        <v>3.5999999999999997E-2</v>
      </c>
      <c r="H20" s="2" t="s">
        <v>87</v>
      </c>
      <c r="I20" s="2" t="s">
        <v>88</v>
      </c>
      <c r="J20" s="2" t="s">
        <v>89</v>
      </c>
      <c r="K20" s="2"/>
      <c r="L20" s="2"/>
    </row>
    <row r="21" spans="1:12" x14ac:dyDescent="0.45">
      <c r="B21" s="2" t="s">
        <v>28</v>
      </c>
      <c r="C21" s="17">
        <f>B2*'GMV(Layer)'!Q13+B3*'GMV(Layer)'!R13+B4*'GMV(Layer)'!S13+B5*'GMV(Layer)'!T13</f>
        <v>0.37</v>
      </c>
      <c r="D21" s="15">
        <f>1-표1[[#This Row],[Pi_prim]]</f>
        <v>0.63</v>
      </c>
      <c r="E21" s="17">
        <f>D2*'GMV(Layer)'!Q13+D3*'GMV(Layer)'!R13+D4*'GMV(Layer)'!S13+D5*'GMV(Layer)'!T13</f>
        <v>0.39499999999999996</v>
      </c>
      <c r="F21" s="17">
        <f>E2*'GMV(Layer)'!Q13+E3*'GMV(Layer)'!R13+E4*'GMV(Layer)'!S13+E5*'GMV(Layer)'!T13</f>
        <v>3.5999999999999997E-2</v>
      </c>
      <c r="H21" s="29">
        <v>40</v>
      </c>
      <c r="I21" s="30">
        <v>2.0000000000000001E-4</v>
      </c>
      <c r="J21" s="30">
        <v>4.0000000000000002E-4</v>
      </c>
    </row>
    <row r="22" spans="1:12" x14ac:dyDescent="0.45">
      <c r="B22" s="2" t="s">
        <v>30</v>
      </c>
      <c r="C22" s="17">
        <f>B2*'GMV(Layer)'!Q14+B3*'GMV(Layer)'!R14+B4*'GMV(Layer)'!S14+B5*'GMV(Layer)'!T14</f>
        <v>0.37000000000000005</v>
      </c>
      <c r="D22" s="15">
        <f>1-표1[[#This Row],[Pi_prim]]</f>
        <v>0.62999999999999989</v>
      </c>
      <c r="E22" s="17">
        <f>D2*'GMV(Layer)'!Q14+D3*'GMV(Layer)'!R14+D4*'GMV(Layer)'!S14+D5*'GMV(Layer)'!T14</f>
        <v>0.39500000000000002</v>
      </c>
      <c r="F22" s="17">
        <f>F12</f>
        <v>0.7</v>
      </c>
    </row>
    <row r="23" spans="1:12" x14ac:dyDescent="0.45">
      <c r="B23" s="2" t="s">
        <v>32</v>
      </c>
      <c r="C23" s="17">
        <v>0</v>
      </c>
      <c r="D23" s="15">
        <f>1-표1[[#This Row],[Pi_prim]]</f>
        <v>1</v>
      </c>
      <c r="E23" s="17">
        <v>0</v>
      </c>
      <c r="F23" s="17" t="s">
        <v>35</v>
      </c>
      <c r="H23" s="2" t="s">
        <v>90</v>
      </c>
      <c r="I23" s="2" t="s">
        <v>91</v>
      </c>
      <c r="J23" s="2" t="s">
        <v>92</v>
      </c>
    </row>
    <row r="24" spans="1:12" x14ac:dyDescent="0.45">
      <c r="B24" s="2" t="s">
        <v>34</v>
      </c>
      <c r="C24" s="17">
        <v>0</v>
      </c>
      <c r="D24" s="15">
        <f>1-표1[[#This Row],[Pi_prim]]</f>
        <v>1</v>
      </c>
      <c r="E24" s="17">
        <v>0</v>
      </c>
      <c r="F24" s="17" t="s">
        <v>35</v>
      </c>
      <c r="H24" s="31" cm="1">
        <f t="array" ref="H24">1/표5[$HYPE in USD]</f>
        <v>2.5000000000000001E-2</v>
      </c>
      <c r="I24" s="31" cm="1">
        <f t="array" ref="I24">1/표5[$HIDE in USD]</f>
        <v>5000</v>
      </c>
      <c r="J24" s="31" cm="1">
        <f t="array" ref="J24">1/표5[$HIIN in USD]</f>
        <v>2500</v>
      </c>
    </row>
    <row r="25" spans="1:12" s="6" customFormat="1" x14ac:dyDescent="0.45">
      <c r="A25" s="6" t="s">
        <v>13</v>
      </c>
      <c r="B25" s="6" t="s">
        <v>26</v>
      </c>
      <c r="C25" s="17">
        <f>B2*'GMV(Layer)'!Q17+B3*'GMV(Layer)'!R17+B4*'GMV(Layer)'!S17+B5*'GMV(Layer)'!T17</f>
        <v>0.34499999999999997</v>
      </c>
      <c r="D25" s="15">
        <f>1-표1[[#This Row],[Pi_prim]]</f>
        <v>0.65500000000000003</v>
      </c>
      <c r="E25" s="15">
        <f>D2*'GMV(Layer)'!Q17+D3*'GMV(Layer)'!R17+D4*'GMV(Layer)'!S17+D5*'GMV(Layer)'!T17</f>
        <v>0.39749999999999991</v>
      </c>
      <c r="F25" s="15">
        <f>E2*'GMV(Layer)'!Q17+E3*'GMV(Layer)'!R17+E4*'GMV(Layer)'!S17+E5*'GMV(Layer)'!T17</f>
        <v>3.8999999999999993E-2</v>
      </c>
      <c r="H25" s="2"/>
      <c r="I25" s="2"/>
      <c r="J25" s="2"/>
      <c r="K25" s="2"/>
      <c r="L25" s="2"/>
    </row>
    <row r="26" spans="1:12" x14ac:dyDescent="0.45">
      <c r="B26" s="2" t="s">
        <v>28</v>
      </c>
      <c r="C26" s="17">
        <f>B2*'GMV(Layer)'!Q18+B3*'GMV(Layer)'!R18+B4*'GMV(Layer)'!S18+B5*'GMV(Layer)'!T18</f>
        <v>0.34500000000000003</v>
      </c>
      <c r="D26" s="15">
        <f>1-표1[[#This Row],[Pi_prim]]</f>
        <v>0.65500000000000003</v>
      </c>
      <c r="E26" s="17">
        <f>D2*'GMV(Layer)'!Q18+D3*'GMV(Layer)'!R18+D4*'GMV(Layer)'!S18+D5*'GMV(Layer)'!T18</f>
        <v>0.39749999999999996</v>
      </c>
      <c r="F26" s="17">
        <f>E2*'GMV(Layer)'!Q18+E3*'GMV(Layer)'!R18+E4*'GMV(Layer)'!S18+E5*'GMV(Layer)'!T18</f>
        <v>3.9000000000000007E-2</v>
      </c>
    </row>
    <row r="27" spans="1:12" x14ac:dyDescent="0.45">
      <c r="B27" s="2" t="s">
        <v>30</v>
      </c>
      <c r="C27" s="17">
        <f>B2*'GMV(Layer)'!Q19+B3*'GMV(Layer)'!R19+B4*'GMV(Layer)'!S19+B5*'GMV(Layer)'!T19</f>
        <v>0.34500000000000003</v>
      </c>
      <c r="D27" s="15">
        <f>1-표1[[#This Row],[Pi_prim]]</f>
        <v>0.65500000000000003</v>
      </c>
      <c r="E27" s="17">
        <f>D2*'GMV(Layer)'!Q19+D3*'GMV(Layer)'!R19+D4*'GMV(Layer)'!S19+D5*'GMV(Layer)'!T19</f>
        <v>0.39749999999999996</v>
      </c>
      <c r="F27" s="20">
        <f>F12</f>
        <v>0.7</v>
      </c>
    </row>
    <row r="28" spans="1:12" x14ac:dyDescent="0.45">
      <c r="B28" s="2" t="s">
        <v>32</v>
      </c>
      <c r="C28" s="17">
        <v>0</v>
      </c>
      <c r="D28" s="15">
        <f>1-표1[[#This Row],[Pi_prim]]</f>
        <v>1</v>
      </c>
      <c r="E28" s="17">
        <v>0</v>
      </c>
      <c r="F28" s="17" t="s">
        <v>35</v>
      </c>
    </row>
    <row r="29" spans="1:12" x14ac:dyDescent="0.45">
      <c r="B29" s="2" t="s">
        <v>34</v>
      </c>
      <c r="C29" s="17">
        <v>0</v>
      </c>
      <c r="D29" s="15">
        <f>1-표1[[#This Row],[Pi_prim]]</f>
        <v>1</v>
      </c>
      <c r="E29" s="17">
        <v>0</v>
      </c>
      <c r="F29" s="17" t="s">
        <v>35</v>
      </c>
    </row>
    <row r="30" spans="1:12" s="6" customFormat="1" x14ac:dyDescent="0.45">
      <c r="A30" s="6" t="s">
        <v>14</v>
      </c>
      <c r="B30" s="6" t="s">
        <v>26</v>
      </c>
      <c r="C30" s="15">
        <f>B2*'GMV(Layer)'!Q22+B3*'GMV(Layer)'!R22+B4*'GMV(Layer)'!S22+B5*'GMV(Layer)'!T22</f>
        <v>0.32000000000000006</v>
      </c>
      <c r="D30" s="15">
        <f>1-표1[[#This Row],[Pi_prim]]</f>
        <v>0.67999999999999994</v>
      </c>
      <c r="E30" s="15">
        <f>D2*'GMV(Layer)'!Q22+D3*'GMV(Layer)'!R22+D4*'GMV(Layer)'!S22+D5*'GMV(Layer)'!T22</f>
        <v>0.39999999999999997</v>
      </c>
      <c r="F30" s="15">
        <f>E2*'GMV(Layer)'!Q22+E3*'GMV(Layer)'!R22+E4*'GMV(Layer)'!S22+E5*'GMV(Layer)'!T22</f>
        <v>4.2000000000000003E-2</v>
      </c>
      <c r="H30" s="2"/>
      <c r="I30" s="2"/>
      <c r="J30" s="2"/>
      <c r="K30" s="2"/>
      <c r="L30" s="2"/>
    </row>
    <row r="31" spans="1:12" x14ac:dyDescent="0.45">
      <c r="B31" s="2" t="s">
        <v>28</v>
      </c>
      <c r="C31" s="17">
        <f>B2*'GMV(Layer)'!Q23+B3*'GMV(Layer)'!R23+B4*'GMV(Layer)'!S23+B5*'GMV(Layer)'!T23</f>
        <v>0.32000000000000006</v>
      </c>
      <c r="D31" s="15">
        <f>1-표1[[#This Row],[Pi_prim]]</f>
        <v>0.67999999999999994</v>
      </c>
      <c r="E31" s="17">
        <f>D2*'GMV(Layer)'!Q23+D3*'GMV(Layer)'!R23+D4*'GMV(Layer)'!S23+D5*'GMV(Layer)'!T23</f>
        <v>0.39999999999999997</v>
      </c>
      <c r="F31" s="17">
        <f>E2*'GMV(Layer)'!Q23+E3*'GMV(Layer)'!R23+E4*'GMV(Layer)'!S23+E5*'GMV(Layer)'!T23</f>
        <v>4.2000000000000003E-2</v>
      </c>
    </row>
    <row r="32" spans="1:12" x14ac:dyDescent="0.45">
      <c r="B32" s="2" t="s">
        <v>30</v>
      </c>
      <c r="C32" s="17">
        <f>B2*'GMV(Layer)'!Q24+B3*'GMV(Layer)'!R24+B4*'GMV(Layer)'!S24+B5*'GMV(Layer)'!T24</f>
        <v>0.32000000000000006</v>
      </c>
      <c r="D32" s="15">
        <f>1-표1[[#This Row],[Pi_prim]]</f>
        <v>0.67999999999999994</v>
      </c>
      <c r="E32" s="17">
        <f>D2*'GMV(Layer)'!Q24+D3*'GMV(Layer)'!R24+D4*'GMV(Layer)'!S24+D5*'GMV(Layer)'!T24</f>
        <v>0.39999999999999997</v>
      </c>
      <c r="F32" s="17">
        <f>F12</f>
        <v>0.7</v>
      </c>
    </row>
    <row r="33" spans="1:12" x14ac:dyDescent="0.45">
      <c r="B33" s="2" t="s">
        <v>32</v>
      </c>
      <c r="C33" s="17">
        <v>0</v>
      </c>
      <c r="D33" s="15">
        <f>1-표1[[#This Row],[Pi_prim]]</f>
        <v>1</v>
      </c>
      <c r="E33" s="17">
        <v>0</v>
      </c>
      <c r="F33" s="17" t="s">
        <v>35</v>
      </c>
    </row>
    <row r="34" spans="1:12" x14ac:dyDescent="0.45">
      <c r="B34" s="2" t="s">
        <v>34</v>
      </c>
      <c r="C34" s="17">
        <v>0</v>
      </c>
      <c r="D34" s="15">
        <f>1-표1[[#This Row],[Pi_prim]]</f>
        <v>1</v>
      </c>
      <c r="E34" s="17">
        <v>0</v>
      </c>
      <c r="F34" s="17" t="s">
        <v>35</v>
      </c>
    </row>
    <row r="35" spans="1:12" s="6" customFormat="1" x14ac:dyDescent="0.45">
      <c r="A35" s="6" t="s">
        <v>15</v>
      </c>
      <c r="B35" s="8" t="s">
        <v>25</v>
      </c>
      <c r="C35" s="21">
        <f>B2*'GMV(Layer)'!Q27+B3*'GMV(Layer)'!R27+B4*'GMV(Layer)'!S27+B5*'GMV(Layer)'!T27</f>
        <v>0.26500000000000001</v>
      </c>
      <c r="D35" s="15">
        <f>1-표1[[#This Row],[Pi_prim]]</f>
        <v>0.73499999999999999</v>
      </c>
      <c r="E35" s="21">
        <f>D2*'GMV(Layer)'!Q27+D3*'GMV(Layer)'!R27+D4*'GMV(Layer)'!S27+D5*'GMV(Layer)'!T27</f>
        <v>0.37749999999999995</v>
      </c>
      <c r="F35" s="15">
        <f>E2*'GMV(Layer)'!Q27+E3*'GMV(Layer)'!R27+E4*'GMV(Layer)'!S27+E5*'GMV(Layer)'!T27</f>
        <v>4.0999999999999995E-2</v>
      </c>
      <c r="H35" s="2"/>
      <c r="I35" s="2"/>
      <c r="J35" s="2"/>
      <c r="K35" s="2"/>
      <c r="L35" s="2"/>
    </row>
    <row r="36" spans="1:12" x14ac:dyDescent="0.45">
      <c r="B36" s="5" t="s">
        <v>27</v>
      </c>
      <c r="C36" s="22">
        <f>B2*'GMV(Layer)'!Q28+B3*'GMV(Layer)'!R28+B4*'GMV(Layer)'!S28+B5*'GMV(Layer)'!T28</f>
        <v>0.311764705882353</v>
      </c>
      <c r="D36" s="15">
        <f>1-표1[[#This Row],[Pi_prim]]</f>
        <v>0.68823529411764706</v>
      </c>
      <c r="E36" s="22">
        <f>D2*'GMV(Layer)'!Q28+D3*'GMV(Layer)'!R28+D4*'GMV(Layer)'!S28+D5*'GMV(Layer)'!T28</f>
        <v>0.40000000000000008</v>
      </c>
      <c r="F36" s="17">
        <f>E2*'GMV(Layer)'!Q28+E3*'GMV(Layer)'!R28+E4*'GMV(Layer)'!S28+E5*'GMV(Layer)'!T28</f>
        <v>4.2941176470588246E-2</v>
      </c>
    </row>
    <row r="37" spans="1:12" x14ac:dyDescent="0.45">
      <c r="B37" s="5" t="s">
        <v>29</v>
      </c>
      <c r="C37" s="22">
        <f>B2*'GMV(Layer)'!Q29+B3*'GMV(Layer)'!R29+B4*'GMV(Layer)'!S29+B5*'GMV(Layer)'!T29</f>
        <v>0.311764705882353</v>
      </c>
      <c r="D37" s="15">
        <f>1-표1[[#This Row],[Pi_prim]]</f>
        <v>0.68823529411764706</v>
      </c>
      <c r="E37" s="22">
        <f>D2*'GMV(Layer)'!Q29+D3*'GMV(Layer)'!R29+D4*'GMV(Layer)'!S29+D5*'GMV(Layer)'!T29</f>
        <v>0.40000000000000008</v>
      </c>
      <c r="F37" s="17">
        <f>F12</f>
        <v>0.7</v>
      </c>
    </row>
    <row r="38" spans="1:12" x14ac:dyDescent="0.45">
      <c r="B38" s="5" t="s">
        <v>31</v>
      </c>
      <c r="C38" s="22">
        <v>0</v>
      </c>
      <c r="D38" s="15">
        <f>1-표1[[#This Row],[Pi_prim]]</f>
        <v>1</v>
      </c>
      <c r="E38" s="22">
        <v>0</v>
      </c>
      <c r="F38" s="17" t="s">
        <v>35</v>
      </c>
    </row>
    <row r="39" spans="1:12" x14ac:dyDescent="0.45">
      <c r="B39" s="5" t="s">
        <v>33</v>
      </c>
      <c r="C39" s="22">
        <v>0</v>
      </c>
      <c r="D39" s="15">
        <f>1-표1[[#This Row],[Pi_prim]]</f>
        <v>1</v>
      </c>
      <c r="E39" s="22">
        <v>0</v>
      </c>
      <c r="F39" s="17" t="s">
        <v>35</v>
      </c>
    </row>
  </sheetData>
  <phoneticPr fontId="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152D-6C08-5D47-A203-6D8EE5199915}">
  <dimension ref="A1:K11"/>
  <sheetViews>
    <sheetView tabSelected="1" workbookViewId="0">
      <selection sqref="A1:B7"/>
    </sheetView>
  </sheetViews>
  <sheetFormatPr defaultColWidth="11.07421875" defaultRowHeight="17.5" x14ac:dyDescent="0.45"/>
  <cols>
    <col min="6" max="6" width="12.3828125" customWidth="1"/>
    <col min="8" max="8" width="12.53515625" customWidth="1"/>
    <col min="11" max="11" width="14.53515625" customWidth="1"/>
    <col min="12" max="12" width="15.3046875" customWidth="1"/>
  </cols>
  <sheetData>
    <row r="1" spans="1:11" s="1" customFormat="1" x14ac:dyDescent="0.45">
      <c r="A1" s="3" t="s">
        <v>0</v>
      </c>
      <c r="B1" s="3" t="s">
        <v>5</v>
      </c>
      <c r="C1" s="3" t="s">
        <v>1</v>
      </c>
      <c r="D1" s="3" t="s">
        <v>2</v>
      </c>
      <c r="E1" s="3" t="s">
        <v>3</v>
      </c>
      <c r="F1" s="3" t="s">
        <v>6</v>
      </c>
      <c r="G1" s="3" t="s">
        <v>4</v>
      </c>
      <c r="H1" s="3" t="s">
        <v>7</v>
      </c>
      <c r="I1" s="3" t="s">
        <v>8</v>
      </c>
      <c r="J1" s="3" t="s">
        <v>9</v>
      </c>
      <c r="K1" s="3" t="s">
        <v>16</v>
      </c>
    </row>
    <row r="2" spans="1:11" s="7" customFormat="1" x14ac:dyDescent="0.45">
      <c r="A2" s="6" t="s">
        <v>10</v>
      </c>
      <c r="B2" s="6">
        <v>2</v>
      </c>
      <c r="C2" s="6" t="s">
        <v>17</v>
      </c>
      <c r="D2" s="6" t="s">
        <v>17</v>
      </c>
      <c r="E2" s="6" t="s">
        <v>17</v>
      </c>
      <c r="F2" s="6" t="s">
        <v>17</v>
      </c>
      <c r="G2" s="6" t="s">
        <v>17</v>
      </c>
      <c r="H2" s="6" t="s">
        <v>17</v>
      </c>
      <c r="I2" s="11">
        <f>I3/F3</f>
        <v>0.20260942760942766</v>
      </c>
      <c r="J2" s="6"/>
      <c r="K2" s="6">
        <f>PRODUCT(F2:F7)</f>
        <v>21.384</v>
      </c>
    </row>
    <row r="3" spans="1:11" x14ac:dyDescent="0.45">
      <c r="A3" s="2" t="s">
        <v>11</v>
      </c>
      <c r="B3" s="2">
        <v>2</v>
      </c>
      <c r="C3" s="2">
        <v>1.4</v>
      </c>
      <c r="D3" s="2">
        <v>1.2</v>
      </c>
      <c r="E3" s="2">
        <v>1.2</v>
      </c>
      <c r="F3" s="2">
        <v>2</v>
      </c>
      <c r="G3" s="19">
        <f>F3^(1/B3)-1</f>
        <v>0.41421356237309515</v>
      </c>
      <c r="H3" s="9">
        <f>I3/F3</f>
        <v>0.20260942760942766</v>
      </c>
      <c r="I3" s="9">
        <f t="shared" ref="I3:I6" si="0">I4/F4</f>
        <v>0.40521885521885531</v>
      </c>
      <c r="J3" s="9">
        <f>I3/SQRT(F3)</f>
        <v>0.28653300038990237</v>
      </c>
      <c r="K3" s="2"/>
    </row>
    <row r="4" spans="1:11" x14ac:dyDescent="0.45">
      <c r="A4" s="2" t="s">
        <v>12</v>
      </c>
      <c r="B4" s="2">
        <v>6</v>
      </c>
      <c r="C4" s="2">
        <v>1.5</v>
      </c>
      <c r="D4" s="2">
        <v>1.3</v>
      </c>
      <c r="E4" s="2">
        <v>1.5</v>
      </c>
      <c r="F4" s="2">
        <v>3.3</v>
      </c>
      <c r="G4" s="19">
        <f t="shared" ref="G4:G7" si="1">F4^(1/B4)-1</f>
        <v>0.22016619890645539</v>
      </c>
      <c r="H4" s="9">
        <f t="shared" ref="H4:H7" si="2">I4/F4</f>
        <v>0.40521885521885531</v>
      </c>
      <c r="I4" s="9">
        <f t="shared" si="0"/>
        <v>1.3372222222222225</v>
      </c>
      <c r="J4" s="9">
        <f t="shared" ref="J4:J7" si="3">I4/SQRT(F4)</f>
        <v>0.7361166062942085</v>
      </c>
      <c r="K4" s="2"/>
    </row>
    <row r="5" spans="1:11" x14ac:dyDescent="0.45">
      <c r="A5" s="2" t="s">
        <v>13</v>
      </c>
      <c r="B5" s="2">
        <v>6</v>
      </c>
      <c r="C5" s="2">
        <v>1.2</v>
      </c>
      <c r="D5" s="2">
        <v>1.1000000000000001</v>
      </c>
      <c r="E5" s="2">
        <v>1.3</v>
      </c>
      <c r="F5" s="2">
        <v>1.8</v>
      </c>
      <c r="G5" s="19">
        <f t="shared" si="1"/>
        <v>0.10292356902673916</v>
      </c>
      <c r="H5" s="9">
        <f t="shared" si="2"/>
        <v>1.3372222222222225</v>
      </c>
      <c r="I5" s="9">
        <f t="shared" si="0"/>
        <v>2.4070000000000005</v>
      </c>
      <c r="J5" s="9">
        <f t="shared" si="3"/>
        <v>1.7940718739473316</v>
      </c>
      <c r="K5" s="2"/>
    </row>
    <row r="6" spans="1:11" x14ac:dyDescent="0.45">
      <c r="A6" s="2" t="s">
        <v>14</v>
      </c>
      <c r="B6" s="2">
        <v>6</v>
      </c>
      <c r="C6" s="2">
        <v>1.1000000000000001</v>
      </c>
      <c r="D6" s="2">
        <v>1.1000000000000001</v>
      </c>
      <c r="E6" s="2">
        <v>1.2</v>
      </c>
      <c r="F6" s="2">
        <v>1.5</v>
      </c>
      <c r="G6" s="19">
        <f t="shared" si="1"/>
        <v>6.991319393366302E-2</v>
      </c>
      <c r="H6" s="9">
        <f t="shared" si="2"/>
        <v>2.4070000000000005</v>
      </c>
      <c r="I6" s="9">
        <f t="shared" si="0"/>
        <v>3.6105000000000005</v>
      </c>
      <c r="J6" s="9">
        <f t="shared" si="3"/>
        <v>2.9479609054395555</v>
      </c>
      <c r="K6" s="2"/>
    </row>
    <row r="7" spans="1:11" x14ac:dyDescent="0.45">
      <c r="A7" s="2" t="s">
        <v>15</v>
      </c>
      <c r="B7" s="2">
        <v>6</v>
      </c>
      <c r="C7" s="2">
        <v>1.05</v>
      </c>
      <c r="D7" s="2">
        <v>1.05</v>
      </c>
      <c r="E7" s="2">
        <v>1.1000000000000001</v>
      </c>
      <c r="F7" s="2">
        <v>1.2</v>
      </c>
      <c r="G7" s="19">
        <f t="shared" si="1"/>
        <v>3.0853320886444546E-2</v>
      </c>
      <c r="H7" s="9">
        <f t="shared" si="2"/>
        <v>3.6105000000000005</v>
      </c>
      <c r="I7" s="9">
        <f>9.628*45%</f>
        <v>4.3326000000000002</v>
      </c>
      <c r="J7" s="9">
        <f t="shared" si="3"/>
        <v>3.9551045877448048</v>
      </c>
      <c r="K7" s="2"/>
    </row>
    <row r="8" spans="1:11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C234-7C9E-4947-826C-7A9BA998CA5C}">
  <dimension ref="A1:AH31"/>
  <sheetViews>
    <sheetView zoomScale="85" workbookViewId="0">
      <pane xSplit="1" topLeftCell="AB1" activePane="topRight" state="frozen"/>
      <selection activeCell="A2" sqref="A2"/>
      <selection pane="topRight" activeCell="V26" sqref="V26"/>
    </sheetView>
  </sheetViews>
  <sheetFormatPr defaultColWidth="11.07421875" defaultRowHeight="17.5" x14ac:dyDescent="0.45"/>
  <cols>
    <col min="3" max="3" width="17.3046875" customWidth="1"/>
    <col min="21" max="21" width="28.53515625" customWidth="1"/>
    <col min="22" max="22" width="21.53515625" customWidth="1"/>
    <col min="23" max="23" width="11.15234375" customWidth="1"/>
    <col min="24" max="24" width="12.53515625" customWidth="1"/>
    <col min="31" max="31" width="11.69140625" customWidth="1"/>
    <col min="32" max="32" width="12" customWidth="1"/>
    <col min="33" max="33" width="20" customWidth="1"/>
    <col min="34" max="34" width="15.3046875" customWidth="1"/>
  </cols>
  <sheetData>
    <row r="1" spans="1:34" s="1" customFormat="1" x14ac:dyDescent="0.45">
      <c r="A1" s="3" t="s">
        <v>0</v>
      </c>
      <c r="B1" s="3" t="s">
        <v>18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  <c r="V1" s="3" t="s">
        <v>55</v>
      </c>
      <c r="W1" s="3" t="s">
        <v>56</v>
      </c>
      <c r="X1" s="3" t="s">
        <v>57</v>
      </c>
      <c r="Y1" s="3" t="s">
        <v>58</v>
      </c>
      <c r="Z1" s="3" t="s">
        <v>59</v>
      </c>
      <c r="AA1" s="3" t="s">
        <v>62</v>
      </c>
      <c r="AB1" s="3" t="s">
        <v>63</v>
      </c>
      <c r="AC1" s="1" t="s">
        <v>131</v>
      </c>
    </row>
    <row r="2" spans="1:34" s="7" customFormat="1" x14ac:dyDescent="0.45">
      <c r="A2" s="12" t="s">
        <v>10</v>
      </c>
      <c r="B2" s="6" t="s">
        <v>26</v>
      </c>
      <c r="C2" s="6">
        <v>0.05</v>
      </c>
      <c r="D2" s="6">
        <v>1</v>
      </c>
      <c r="E2" s="6">
        <v>0</v>
      </c>
      <c r="F2" s="6">
        <v>0</v>
      </c>
      <c r="G2" s="6">
        <v>0</v>
      </c>
      <c r="H2" s="6">
        <v>1</v>
      </c>
      <c r="I2" s="6">
        <v>0</v>
      </c>
      <c r="J2" s="6">
        <v>0</v>
      </c>
      <c r="K2" s="6">
        <v>0</v>
      </c>
      <c r="L2" s="6">
        <f xml:space="preserve"> D2 * C2 * H2</f>
        <v>0.05</v>
      </c>
      <c r="M2" s="6">
        <f xml:space="preserve"> E2 * C2 * I2</f>
        <v>0</v>
      </c>
      <c r="N2" s="6">
        <f xml:space="preserve"> F2 * C2 * J2</f>
        <v>0</v>
      </c>
      <c r="O2" s="6">
        <f xml:space="preserve"> G2 * C2 * K2</f>
        <v>0</v>
      </c>
      <c r="P2" s="6">
        <f xml:space="preserve"> L2 + M2 + N2 + O2</f>
        <v>0.05</v>
      </c>
      <c r="Q2" s="6">
        <f xml:space="preserve"> IF($P2=0, 0, L2 / $P2)</f>
        <v>1</v>
      </c>
      <c r="R2" s="6">
        <f xml:space="preserve"> IF($P2=0, 0, M2 / $P2)</f>
        <v>0</v>
      </c>
      <c r="S2" s="6">
        <f xml:space="preserve"> IF($P2=0, 0, N2 / $P2)</f>
        <v>0</v>
      </c>
      <c r="T2" s="6">
        <f xml:space="preserve"> IF($P2=0, 0, O2 / $P2)</f>
        <v>0</v>
      </c>
      <c r="U2" s="11">
        <f>'GMV(Total)'!I2</f>
        <v>0.20260942760942766</v>
      </c>
      <c r="V2" s="11">
        <f xml:space="preserve"> C2 * U2</f>
        <v>1.0130471380471384E-2</v>
      </c>
      <c r="W2" s="11">
        <f xml:space="preserve"> Q2 * V2</f>
        <v>1.0130471380471384E-2</v>
      </c>
      <c r="X2" s="11">
        <f xml:space="preserve"> R2 * V2</f>
        <v>0</v>
      </c>
      <c r="Y2" s="11">
        <f xml:space="preserve"> S2 * V2</f>
        <v>0</v>
      </c>
      <c r="Z2" s="11">
        <f xml:space="preserve"> T2 * V2</f>
        <v>0</v>
      </c>
      <c r="AA2" s="11">
        <f>V2*Parameters!C10</f>
        <v>4.0521885521885535E-3</v>
      </c>
      <c r="AB2" s="11">
        <f>V2*Parameters!D10</f>
        <v>6.0782828282828303E-3</v>
      </c>
      <c r="AC2" s="60">
        <f>V2-AUM!O2</f>
        <v>9.9592521458718667E-3</v>
      </c>
    </row>
    <row r="3" spans="1:34" x14ac:dyDescent="0.45">
      <c r="A3" s="2"/>
      <c r="B3" s="2" t="s">
        <v>28</v>
      </c>
      <c r="C3" s="2">
        <v>0.1</v>
      </c>
      <c r="D3" s="2">
        <v>1</v>
      </c>
      <c r="E3" s="2">
        <v>0</v>
      </c>
      <c r="F3" s="2">
        <v>0</v>
      </c>
      <c r="G3" s="2">
        <v>0</v>
      </c>
      <c r="H3" s="2">
        <v>1</v>
      </c>
      <c r="I3" s="2">
        <v>0</v>
      </c>
      <c r="J3" s="2">
        <v>0</v>
      </c>
      <c r="K3" s="2">
        <v>0</v>
      </c>
      <c r="L3" s="2">
        <f t="shared" ref="L3:L31" si="0" xml:space="preserve"> D3 * C3 * H3</f>
        <v>0.1</v>
      </c>
      <c r="M3" s="2">
        <f t="shared" ref="M3:M31" si="1" xml:space="preserve"> E3 * C3 * I3</f>
        <v>0</v>
      </c>
      <c r="N3" s="2">
        <f t="shared" ref="N3:N31" si="2" xml:space="preserve"> F3 * C3 * J3</f>
        <v>0</v>
      </c>
      <c r="O3" s="2">
        <f t="shared" ref="O3:O31" si="3" xml:space="preserve"> G3 * C3 * K3</f>
        <v>0</v>
      </c>
      <c r="P3" s="2">
        <f t="shared" ref="P3:P31" si="4" xml:space="preserve"> L3 + M3 + N3 + O3</f>
        <v>0.1</v>
      </c>
      <c r="Q3" s="2">
        <f t="shared" ref="Q3:Q11" si="5" xml:space="preserve"> IF($P3=0, 0, L3 / $P3)</f>
        <v>1</v>
      </c>
      <c r="R3" s="2">
        <f t="shared" ref="R3:R31" si="6" xml:space="preserve"> IF($P3=0, 0, M3 / $P3)</f>
        <v>0</v>
      </c>
      <c r="S3" s="2">
        <f t="shared" ref="S3:S31" si="7" xml:space="preserve"> IF($P3=0, 0, N3 / $P3)</f>
        <v>0</v>
      </c>
      <c r="T3" s="2">
        <f t="shared" ref="T3:T31" si="8" xml:space="preserve"> IF($P3=0, 0, O3 / $P3)</f>
        <v>0</v>
      </c>
      <c r="U3" s="9">
        <f>'GMV(Total)'!I2</f>
        <v>0.20260942760942766</v>
      </c>
      <c r="V3" s="9">
        <f t="shared" ref="V3:V31" si="9" xml:space="preserve"> C3 * U3</f>
        <v>2.0260942760942768E-2</v>
      </c>
      <c r="W3" s="9">
        <f t="shared" ref="W3:W31" si="10" xml:space="preserve"> Q3 * V3</f>
        <v>2.0260942760942768E-2</v>
      </c>
      <c r="X3" s="9">
        <f t="shared" ref="X3:X31" si="11" xml:space="preserve"> R3 * V3</f>
        <v>0</v>
      </c>
      <c r="Y3" s="9">
        <f t="shared" ref="Y3:Y31" si="12" xml:space="preserve"> S3 * V3</f>
        <v>0</v>
      </c>
      <c r="Z3" s="9">
        <f t="shared" ref="Z3:Z31" si="13" xml:space="preserve"> T3 * V3</f>
        <v>0</v>
      </c>
      <c r="AA3" s="11">
        <f>V3*Parameters!C11</f>
        <v>8.1043771043771071E-3</v>
      </c>
      <c r="AB3" s="11">
        <f>V3*Parameters!D11</f>
        <v>1.2156565656565661E-2</v>
      </c>
      <c r="AC3" s="60">
        <f>V3-AUM!O3</f>
        <v>1.9794761777062669E-2</v>
      </c>
      <c r="AE3" t="s">
        <v>0</v>
      </c>
      <c r="AF3" t="s">
        <v>134</v>
      </c>
      <c r="AG3" t="s">
        <v>145</v>
      </c>
      <c r="AH3" t="s">
        <v>133</v>
      </c>
    </row>
    <row r="4" spans="1:34" x14ac:dyDescent="0.45">
      <c r="A4" s="2"/>
      <c r="B4" s="2" t="s">
        <v>30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0</v>
      </c>
      <c r="L4" s="2">
        <f t="shared" si="0"/>
        <v>0</v>
      </c>
      <c r="M4" s="2">
        <f t="shared" si="1"/>
        <v>0</v>
      </c>
      <c r="N4" s="2">
        <f t="shared" si="2"/>
        <v>0</v>
      </c>
      <c r="O4" s="2">
        <f t="shared" si="3"/>
        <v>0</v>
      </c>
      <c r="P4" s="2">
        <f t="shared" si="4"/>
        <v>0</v>
      </c>
      <c r="Q4" s="2">
        <v>1</v>
      </c>
      <c r="R4" s="2">
        <f t="shared" si="6"/>
        <v>0</v>
      </c>
      <c r="S4" s="2">
        <f t="shared" si="7"/>
        <v>0</v>
      </c>
      <c r="T4" s="2">
        <f t="shared" si="8"/>
        <v>0</v>
      </c>
      <c r="U4" s="9">
        <f>'GMV(Total)'!I2</f>
        <v>0.20260942760942766</v>
      </c>
      <c r="V4" s="9">
        <f t="shared" si="9"/>
        <v>0</v>
      </c>
      <c r="W4" s="9">
        <f t="shared" si="10"/>
        <v>0</v>
      </c>
      <c r="X4" s="9">
        <f t="shared" si="11"/>
        <v>0</v>
      </c>
      <c r="Y4" s="9">
        <f t="shared" si="12"/>
        <v>0</v>
      </c>
      <c r="Z4" s="9">
        <f t="shared" si="13"/>
        <v>0</v>
      </c>
      <c r="AA4" s="11">
        <f>V4*Parameters!C12</f>
        <v>0</v>
      </c>
      <c r="AB4" s="11">
        <f>V4*Parameters!D12</f>
        <v>0</v>
      </c>
      <c r="AC4" s="60">
        <f>V4-AUM!O4</f>
        <v>0</v>
      </c>
      <c r="AE4" t="s">
        <v>10</v>
      </c>
      <c r="AF4" s="34">
        <f t="shared" ref="AF4" si="14">SUM(AC2:AC6)</f>
        <v>0.20197202739094805</v>
      </c>
      <c r="AG4" s="34">
        <f>표4[[#This Row],[GMV_trade(B)]]-표4[[#This Row],[GMV_Canonical]]</f>
        <v>0.20197202739094805</v>
      </c>
      <c r="AH4" s="37">
        <f>AC3*'Launch Fee'!I2</f>
        <v>0</v>
      </c>
    </row>
    <row r="5" spans="1:34" x14ac:dyDescent="0.45">
      <c r="A5" s="2"/>
      <c r="B5" s="2" t="s">
        <v>32</v>
      </c>
      <c r="C5" s="2">
        <v>0.35</v>
      </c>
      <c r="D5" s="2">
        <v>1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f t="shared" si="0"/>
        <v>0.35</v>
      </c>
      <c r="M5" s="2">
        <f t="shared" si="1"/>
        <v>0</v>
      </c>
      <c r="N5" s="2">
        <f t="shared" si="2"/>
        <v>0</v>
      </c>
      <c r="O5" s="2">
        <f t="shared" si="3"/>
        <v>0</v>
      </c>
      <c r="P5" s="2">
        <f t="shared" si="4"/>
        <v>0.35</v>
      </c>
      <c r="Q5" s="2">
        <f t="shared" si="5"/>
        <v>1</v>
      </c>
      <c r="R5" s="2">
        <f t="shared" si="6"/>
        <v>0</v>
      </c>
      <c r="S5" s="2">
        <f t="shared" si="7"/>
        <v>0</v>
      </c>
      <c r="T5" s="2">
        <f t="shared" si="8"/>
        <v>0</v>
      </c>
      <c r="U5" s="9">
        <f>'GMV(Total)'!I2</f>
        <v>0.20260942760942766</v>
      </c>
      <c r="V5" s="9">
        <f t="shared" si="9"/>
        <v>7.0913299663299678E-2</v>
      </c>
      <c r="W5" s="9">
        <f t="shared" si="10"/>
        <v>7.0913299663299678E-2</v>
      </c>
      <c r="X5" s="9">
        <f t="shared" si="11"/>
        <v>0</v>
      </c>
      <c r="Y5" s="9">
        <f t="shared" si="12"/>
        <v>0</v>
      </c>
      <c r="Z5" s="9">
        <f t="shared" si="13"/>
        <v>0</v>
      </c>
      <c r="AA5" s="11">
        <f>V5*Parameters!C13</f>
        <v>0</v>
      </c>
      <c r="AB5" s="11">
        <f>V5*Parameters!D13</f>
        <v>7.0913299663299678E-2</v>
      </c>
      <c r="AC5" s="60">
        <f>V5-AUM!O5</f>
        <v>7.0913299663299678E-2</v>
      </c>
      <c r="AE5" t="s">
        <v>11</v>
      </c>
      <c r="AF5" s="34">
        <f>SUM(AC7:AC11)</f>
        <v>0.40085557439525682</v>
      </c>
      <c r="AG5" s="34">
        <f>표4[[#This Row],[GMV_trade(B)]]-표4[[#This Row],[GMV_Canonical]]</f>
        <v>0.40036070535083024</v>
      </c>
      <c r="AH5" s="37">
        <f>AC8*'Launch Fee'!I3</f>
        <v>4.948690444265667E-4</v>
      </c>
    </row>
    <row r="6" spans="1:34" ht="20" customHeight="1" x14ac:dyDescent="0.45">
      <c r="A6" s="2"/>
      <c r="B6" s="2" t="s">
        <v>34</v>
      </c>
      <c r="C6" s="2">
        <v>0.5</v>
      </c>
      <c r="D6" s="2">
        <v>1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0</v>
      </c>
      <c r="K6" s="2">
        <v>0</v>
      </c>
      <c r="L6" s="2">
        <f t="shared" si="0"/>
        <v>0.5</v>
      </c>
      <c r="M6" s="2">
        <f t="shared" si="1"/>
        <v>0</v>
      </c>
      <c r="N6" s="2">
        <f t="shared" si="2"/>
        <v>0</v>
      </c>
      <c r="O6" s="2">
        <f t="shared" si="3"/>
        <v>0</v>
      </c>
      <c r="P6" s="2">
        <f t="shared" si="4"/>
        <v>0.5</v>
      </c>
      <c r="Q6" s="2">
        <f t="shared" si="5"/>
        <v>1</v>
      </c>
      <c r="R6" s="2">
        <f t="shared" si="6"/>
        <v>0</v>
      </c>
      <c r="S6" s="2">
        <f t="shared" si="7"/>
        <v>0</v>
      </c>
      <c r="T6" s="2">
        <f t="shared" si="8"/>
        <v>0</v>
      </c>
      <c r="U6" s="9">
        <f>'GMV(Total)'!I2</f>
        <v>0.20260942760942766</v>
      </c>
      <c r="V6" s="9">
        <f t="shared" si="9"/>
        <v>0.10130471380471383</v>
      </c>
      <c r="W6" s="9">
        <f t="shared" si="10"/>
        <v>0.10130471380471383</v>
      </c>
      <c r="X6" s="9">
        <f t="shared" si="11"/>
        <v>0</v>
      </c>
      <c r="Y6" s="9">
        <f t="shared" si="12"/>
        <v>0</v>
      </c>
      <c r="Z6" s="9">
        <f t="shared" si="13"/>
        <v>0</v>
      </c>
      <c r="AA6" s="11">
        <f>V6*Parameters!C14</f>
        <v>0</v>
      </c>
      <c r="AB6" s="11">
        <f>V6*Parameters!D14</f>
        <v>0.10130471380471383</v>
      </c>
      <c r="AC6" s="60">
        <f>V6-AUM!O6</f>
        <v>0.10130471380471383</v>
      </c>
      <c r="AE6" t="s">
        <v>12</v>
      </c>
      <c r="AF6" s="34">
        <f>SUM(AC12:AC16)</f>
        <v>1.3198446341243988</v>
      </c>
      <c r="AG6" s="34">
        <f>표4[[#This Row],[GMV_trade(B)]]-표4[[#This Row],[GMV_Canonical]]</f>
        <v>1.3169142049586922</v>
      </c>
      <c r="AH6" s="37">
        <f>AC13*'Launch Fee'!I4</f>
        <v>2.9304291657066541E-3</v>
      </c>
    </row>
    <row r="7" spans="1:34" s="7" customFormat="1" x14ac:dyDescent="0.45">
      <c r="A7" s="6" t="s">
        <v>11</v>
      </c>
      <c r="B7" s="6" t="s">
        <v>26</v>
      </c>
      <c r="C7" s="6">
        <v>0.2</v>
      </c>
      <c r="D7" s="6">
        <v>1</v>
      </c>
      <c r="E7" s="6">
        <v>0</v>
      </c>
      <c r="F7" s="6">
        <v>0</v>
      </c>
      <c r="G7" s="6">
        <v>0</v>
      </c>
      <c r="H7" s="6">
        <v>1</v>
      </c>
      <c r="I7" s="6">
        <v>0</v>
      </c>
      <c r="J7" s="6">
        <v>0</v>
      </c>
      <c r="K7" s="6">
        <v>0</v>
      </c>
      <c r="L7" s="6">
        <f t="shared" si="0"/>
        <v>0.2</v>
      </c>
      <c r="M7" s="6">
        <f t="shared" si="1"/>
        <v>0</v>
      </c>
      <c r="N7" s="6">
        <f t="shared" si="2"/>
        <v>0</v>
      </c>
      <c r="O7" s="6">
        <f t="shared" si="3"/>
        <v>0</v>
      </c>
      <c r="P7" s="6">
        <f t="shared" si="4"/>
        <v>0.2</v>
      </c>
      <c r="Q7" s="6">
        <f xml:space="preserve"> IF($P7=0, 0, L7 / $P7)</f>
        <v>1</v>
      </c>
      <c r="R7" s="6">
        <f t="shared" si="6"/>
        <v>0</v>
      </c>
      <c r="S7" s="6">
        <f t="shared" si="7"/>
        <v>0</v>
      </c>
      <c r="T7" s="6">
        <f t="shared" si="8"/>
        <v>0</v>
      </c>
      <c r="U7" s="11">
        <f>'GMV(Total)'!I3</f>
        <v>0.40521885521885531</v>
      </c>
      <c r="V7" s="11">
        <f t="shared" si="9"/>
        <v>8.1043771043771071E-2</v>
      </c>
      <c r="W7" s="11">
        <f t="shared" si="10"/>
        <v>8.1043771043771071E-2</v>
      </c>
      <c r="X7" s="11">
        <f t="shared" si="11"/>
        <v>0</v>
      </c>
      <c r="Y7" s="11">
        <f t="shared" si="12"/>
        <v>0</v>
      </c>
      <c r="Z7" s="11">
        <f t="shared" si="13"/>
        <v>0</v>
      </c>
      <c r="AA7" s="11">
        <f>V7*Parameters!C15</f>
        <v>3.2417508417508428E-2</v>
      </c>
      <c r="AB7" s="11">
        <f>V7*Parameters!D15</f>
        <v>4.8626262626262642E-2</v>
      </c>
      <c r="AC7" s="60">
        <f>V7-AUM!O7</f>
        <v>7.9674017166974934E-2</v>
      </c>
      <c r="AE7" t="s">
        <v>13</v>
      </c>
      <c r="AF7" s="60">
        <f>SUM(AC17:AC21)</f>
        <v>2.3735856354123475</v>
      </c>
      <c r="AG7" s="60">
        <f>표4[[#This Row],[GMV_trade(B)]]-표4[[#This Row],[GMV_Canonical]]</f>
        <v>2.36698523214561</v>
      </c>
      <c r="AH7" s="37">
        <f>AC18*'Launch Fee'!I5</f>
        <v>6.6004032667375161E-3</v>
      </c>
    </row>
    <row r="8" spans="1:34" x14ac:dyDescent="0.45">
      <c r="A8" s="2"/>
      <c r="B8" s="2" t="s">
        <v>28</v>
      </c>
      <c r="C8" s="2">
        <v>0.25</v>
      </c>
      <c r="D8" s="2">
        <v>1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f t="shared" si="0"/>
        <v>0.25</v>
      </c>
      <c r="M8" s="2">
        <f t="shared" si="1"/>
        <v>0</v>
      </c>
      <c r="N8" s="2">
        <f t="shared" si="2"/>
        <v>0</v>
      </c>
      <c r="O8" s="2">
        <f t="shared" si="3"/>
        <v>0</v>
      </c>
      <c r="P8" s="2">
        <f t="shared" si="4"/>
        <v>0.25</v>
      </c>
      <c r="Q8" s="2">
        <f t="shared" si="5"/>
        <v>1</v>
      </c>
      <c r="R8" s="2">
        <f t="shared" si="6"/>
        <v>0</v>
      </c>
      <c r="S8" s="2">
        <f t="shared" si="7"/>
        <v>0</v>
      </c>
      <c r="T8" s="2">
        <f t="shared" si="8"/>
        <v>0</v>
      </c>
      <c r="U8" s="9">
        <f>'GMV(Total)'!I3</f>
        <v>0.40521885521885531</v>
      </c>
      <c r="V8" s="9">
        <f t="shared" si="9"/>
        <v>0.10130471380471383</v>
      </c>
      <c r="W8" s="9">
        <f t="shared" si="10"/>
        <v>0.10130471380471383</v>
      </c>
      <c r="X8" s="9">
        <f t="shared" si="11"/>
        <v>0</v>
      </c>
      <c r="Y8" s="9">
        <f t="shared" si="12"/>
        <v>0</v>
      </c>
      <c r="Z8" s="9">
        <f t="shared" si="13"/>
        <v>0</v>
      </c>
      <c r="AA8" s="11">
        <f>V8*Parameters!C16</f>
        <v>4.0521885521885535E-2</v>
      </c>
      <c r="AB8" s="11">
        <f>V8*Parameters!D16</f>
        <v>6.0782828282828293E-2</v>
      </c>
      <c r="AC8" s="60">
        <f>V8-AUM!O8</f>
        <v>9.8973808885313333E-2</v>
      </c>
      <c r="AE8" t="s">
        <v>14</v>
      </c>
      <c r="AF8" s="34">
        <f>SUM(AC22:AC26)</f>
        <v>3.5579926255638412</v>
      </c>
      <c r="AG8" s="34">
        <f>표4[[#This Row],[GMV_trade(B)]]-표4[[#This Row],[GMV_Canonical]]</f>
        <v>3.546098116926844</v>
      </c>
      <c r="AH8" s="37">
        <f>AC23*'Launch Fee'!I6</f>
        <v>1.1894508636997321E-2</v>
      </c>
    </row>
    <row r="9" spans="1:34" x14ac:dyDescent="0.45">
      <c r="A9" s="2"/>
      <c r="B9" s="2" t="s">
        <v>30</v>
      </c>
      <c r="C9" s="2">
        <v>0.05</v>
      </c>
      <c r="D9" s="2">
        <v>1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f t="shared" si="0"/>
        <v>0.05</v>
      </c>
      <c r="M9" s="2">
        <f t="shared" si="1"/>
        <v>0</v>
      </c>
      <c r="N9" s="2">
        <f t="shared" si="2"/>
        <v>0</v>
      </c>
      <c r="O9" s="2">
        <f t="shared" si="3"/>
        <v>0</v>
      </c>
      <c r="P9" s="2">
        <f t="shared" si="4"/>
        <v>0.05</v>
      </c>
      <c r="Q9" s="2">
        <f t="shared" si="5"/>
        <v>1</v>
      </c>
      <c r="R9" s="2">
        <f t="shared" si="6"/>
        <v>0</v>
      </c>
      <c r="S9" s="2">
        <f t="shared" si="7"/>
        <v>0</v>
      </c>
      <c r="T9" s="2">
        <f t="shared" si="8"/>
        <v>0</v>
      </c>
      <c r="U9" s="9">
        <f>'GMV(Total)'!I3</f>
        <v>0.40521885521885531</v>
      </c>
      <c r="V9" s="9">
        <f t="shared" si="9"/>
        <v>2.0260942760942768E-2</v>
      </c>
      <c r="W9" s="9">
        <f t="shared" si="10"/>
        <v>2.0260942760942768E-2</v>
      </c>
      <c r="X9" s="9">
        <f t="shared" si="11"/>
        <v>0</v>
      </c>
      <c r="Y9" s="9">
        <f t="shared" si="12"/>
        <v>0</v>
      </c>
      <c r="Z9" s="9">
        <f t="shared" si="13"/>
        <v>0</v>
      </c>
      <c r="AA9" s="11">
        <f>V9*Parameters!C17</f>
        <v>8.1043771043771071E-3</v>
      </c>
      <c r="AB9" s="11">
        <f>V9*Parameters!D17</f>
        <v>1.2156565656565661E-2</v>
      </c>
      <c r="AC9" s="60">
        <f>V9-AUM!O9</f>
        <v>1.9598320733540866E-2</v>
      </c>
      <c r="AE9" t="s">
        <v>15</v>
      </c>
      <c r="AF9" s="34">
        <f>SUM(AC27:AC31)</f>
        <v>4.271816352337626</v>
      </c>
      <c r="AG9" s="34">
        <f>표4[[#This Row],[GMV_trade(B)]]-표4[[#This Row],[GMV_Canonical]]</f>
        <v>4.2551574184075021</v>
      </c>
      <c r="AH9" s="37">
        <f>AC28*'Launch Fee'!I7</f>
        <v>1.6658933930123677E-2</v>
      </c>
    </row>
    <row r="10" spans="1:34" x14ac:dyDescent="0.45">
      <c r="A10" s="2"/>
      <c r="B10" s="2" t="s">
        <v>32</v>
      </c>
      <c r="C10" s="2">
        <v>0.25</v>
      </c>
      <c r="D10" s="2">
        <v>1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  <c r="K10" s="2">
        <v>0</v>
      </c>
      <c r="L10" s="2">
        <f t="shared" si="0"/>
        <v>0.25</v>
      </c>
      <c r="M10" s="2">
        <f t="shared" si="1"/>
        <v>0</v>
      </c>
      <c r="N10" s="2">
        <f t="shared" si="2"/>
        <v>0</v>
      </c>
      <c r="O10" s="2">
        <f t="shared" si="3"/>
        <v>0</v>
      </c>
      <c r="P10" s="2">
        <f t="shared" si="4"/>
        <v>0.25</v>
      </c>
      <c r="Q10" s="2">
        <f t="shared" si="5"/>
        <v>1</v>
      </c>
      <c r="R10" s="2">
        <f t="shared" si="6"/>
        <v>0</v>
      </c>
      <c r="S10" s="2">
        <f t="shared" si="7"/>
        <v>0</v>
      </c>
      <c r="T10" s="2">
        <f t="shared" si="8"/>
        <v>0</v>
      </c>
      <c r="U10" s="9">
        <f>'GMV(Total)'!I3</f>
        <v>0.40521885521885531</v>
      </c>
      <c r="V10" s="9">
        <f t="shared" si="9"/>
        <v>0.10130471380471383</v>
      </c>
      <c r="W10" s="9">
        <f t="shared" si="10"/>
        <v>0.10130471380471383</v>
      </c>
      <c r="X10" s="9">
        <f t="shared" si="11"/>
        <v>0</v>
      </c>
      <c r="Y10" s="9">
        <f t="shared" si="12"/>
        <v>0</v>
      </c>
      <c r="Z10" s="9">
        <f t="shared" si="13"/>
        <v>0</v>
      </c>
      <c r="AA10" s="11">
        <f>V10*Parameters!C18</f>
        <v>0</v>
      </c>
      <c r="AB10" s="11">
        <f>V10*Parameters!D18</f>
        <v>0.10130471380471383</v>
      </c>
      <c r="AC10" s="60">
        <f>V10-AUM!O10</f>
        <v>0.10130471380471383</v>
      </c>
    </row>
    <row r="11" spans="1:34" x14ac:dyDescent="0.45">
      <c r="A11" s="2"/>
      <c r="B11" s="2" t="s">
        <v>34</v>
      </c>
      <c r="C11" s="2">
        <v>0.25</v>
      </c>
      <c r="D11" s="2">
        <v>1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f t="shared" si="0"/>
        <v>0.25</v>
      </c>
      <c r="M11" s="2">
        <f t="shared" si="1"/>
        <v>0</v>
      </c>
      <c r="N11" s="2">
        <f t="shared" si="2"/>
        <v>0</v>
      </c>
      <c r="O11" s="2">
        <f t="shared" si="3"/>
        <v>0</v>
      </c>
      <c r="P11" s="2">
        <f t="shared" si="4"/>
        <v>0.25</v>
      </c>
      <c r="Q11" s="2">
        <f t="shared" si="5"/>
        <v>1</v>
      </c>
      <c r="R11" s="2">
        <f t="shared" si="6"/>
        <v>0</v>
      </c>
      <c r="S11" s="2">
        <f t="shared" si="7"/>
        <v>0</v>
      </c>
      <c r="T11" s="2">
        <f t="shared" si="8"/>
        <v>0</v>
      </c>
      <c r="U11" s="9">
        <f>'GMV(Total)'!I3</f>
        <v>0.40521885521885531</v>
      </c>
      <c r="V11" s="9">
        <f t="shared" si="9"/>
        <v>0.10130471380471383</v>
      </c>
      <c r="W11" s="9">
        <f t="shared" si="10"/>
        <v>0.10130471380471383</v>
      </c>
      <c r="X11" s="9">
        <f t="shared" si="11"/>
        <v>0</v>
      </c>
      <c r="Y11" s="9">
        <f t="shared" si="12"/>
        <v>0</v>
      </c>
      <c r="Z11" s="9">
        <f t="shared" si="13"/>
        <v>0</v>
      </c>
      <c r="AA11" s="11">
        <f>V11*Parameters!C19</f>
        <v>0</v>
      </c>
      <c r="AB11" s="11">
        <f>V11*Parameters!D19</f>
        <v>0.10130471380471383</v>
      </c>
      <c r="AC11" s="60">
        <f>V11-AUM!O11</f>
        <v>0.10130471380471383</v>
      </c>
    </row>
    <row r="12" spans="1:34" s="7" customFormat="1" x14ac:dyDescent="0.45">
      <c r="A12" s="6" t="s">
        <v>12</v>
      </c>
      <c r="B12" s="6" t="s">
        <v>26</v>
      </c>
      <c r="C12" s="6">
        <v>0.28000000000000003</v>
      </c>
      <c r="D12" s="6">
        <v>0.7</v>
      </c>
      <c r="E12" s="6">
        <v>0.3</v>
      </c>
      <c r="F12" s="6">
        <v>0</v>
      </c>
      <c r="G12" s="6">
        <v>0</v>
      </c>
      <c r="H12" s="6">
        <v>1</v>
      </c>
      <c r="I12" s="6">
        <v>1</v>
      </c>
      <c r="J12" s="6">
        <v>0</v>
      </c>
      <c r="K12" s="6">
        <v>0</v>
      </c>
      <c r="L12" s="6">
        <f t="shared" si="0"/>
        <v>0.19600000000000001</v>
      </c>
      <c r="M12" s="6">
        <f t="shared" si="1"/>
        <v>8.4000000000000005E-2</v>
      </c>
      <c r="N12" s="6">
        <f t="shared" si="2"/>
        <v>0</v>
      </c>
      <c r="O12" s="6">
        <f t="shared" si="3"/>
        <v>0</v>
      </c>
      <c r="P12" s="6">
        <f t="shared" si="4"/>
        <v>0.28000000000000003</v>
      </c>
      <c r="Q12" s="6">
        <f xml:space="preserve"> IF($P12=0, 0, L12 / $P12)</f>
        <v>0.7</v>
      </c>
      <c r="R12" s="6">
        <f t="shared" si="6"/>
        <v>0.3</v>
      </c>
      <c r="S12" s="6">
        <f t="shared" si="7"/>
        <v>0</v>
      </c>
      <c r="T12" s="6">
        <f t="shared" si="8"/>
        <v>0</v>
      </c>
      <c r="U12" s="11">
        <f>'GMV(Total)'!I4</f>
        <v>1.3372222222222225</v>
      </c>
      <c r="V12" s="11">
        <f t="shared" si="9"/>
        <v>0.37442222222222232</v>
      </c>
      <c r="W12" s="11">
        <f t="shared" si="10"/>
        <v>0.26209555555555564</v>
      </c>
      <c r="X12" s="11">
        <f t="shared" si="11"/>
        <v>0.1123266666666667</v>
      </c>
      <c r="Y12" s="11">
        <f t="shared" si="12"/>
        <v>0</v>
      </c>
      <c r="Z12" s="11">
        <f t="shared" si="13"/>
        <v>0</v>
      </c>
      <c r="AA12" s="11">
        <f>V12*Parameters!C20</f>
        <v>0.13853622222222226</v>
      </c>
      <c r="AB12" s="11">
        <f>V12*Parameters!D20</f>
        <v>0.23588600000000007</v>
      </c>
      <c r="AC12" s="60">
        <f>V12-AUM!O12</f>
        <v>0.36839162488243998</v>
      </c>
    </row>
    <row r="13" spans="1:34" x14ac:dyDescent="0.45">
      <c r="A13" s="2"/>
      <c r="B13" s="2" t="s">
        <v>28</v>
      </c>
      <c r="C13" s="2">
        <v>0.28000000000000003</v>
      </c>
      <c r="D13" s="2">
        <v>0.7</v>
      </c>
      <c r="E13" s="2">
        <v>0.3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0</v>
      </c>
      <c r="L13" s="2">
        <f t="shared" si="0"/>
        <v>0.19600000000000001</v>
      </c>
      <c r="M13" s="2">
        <f t="shared" si="1"/>
        <v>8.4000000000000005E-2</v>
      </c>
      <c r="N13" s="2">
        <f t="shared" si="2"/>
        <v>0</v>
      </c>
      <c r="O13" s="2">
        <f t="shared" si="3"/>
        <v>0</v>
      </c>
      <c r="P13" s="2">
        <f t="shared" si="4"/>
        <v>0.28000000000000003</v>
      </c>
      <c r="Q13" s="2">
        <f t="shared" ref="Q13:Q31" si="15" xml:space="preserve"> IF($P13=0, 0, L13 / $P13)</f>
        <v>0.7</v>
      </c>
      <c r="R13" s="2">
        <f t="shared" si="6"/>
        <v>0.3</v>
      </c>
      <c r="S13" s="2">
        <f t="shared" si="7"/>
        <v>0</v>
      </c>
      <c r="T13" s="2">
        <f t="shared" si="8"/>
        <v>0</v>
      </c>
      <c r="U13" s="9">
        <f>'GMV(Total)'!I4</f>
        <v>1.3372222222222225</v>
      </c>
      <c r="V13" s="9">
        <f t="shared" si="9"/>
        <v>0.37442222222222232</v>
      </c>
      <c r="W13" s="9">
        <f t="shared" si="10"/>
        <v>0.26209555555555564</v>
      </c>
      <c r="X13" s="9">
        <f t="shared" si="11"/>
        <v>0.1123266666666667</v>
      </c>
      <c r="Y13" s="9">
        <f t="shared" si="12"/>
        <v>0</v>
      </c>
      <c r="Z13" s="9">
        <f t="shared" si="13"/>
        <v>0</v>
      </c>
      <c r="AA13" s="11">
        <f>V13*Parameters!C21</f>
        <v>0.13853622222222226</v>
      </c>
      <c r="AB13" s="11">
        <f>V13*Parameters!D21</f>
        <v>0.23588600000000007</v>
      </c>
      <c r="AC13" s="60">
        <f>V13-AUM!O13</f>
        <v>0.36630364571333174</v>
      </c>
    </row>
    <row r="14" spans="1:34" x14ac:dyDescent="0.45">
      <c r="A14" s="2"/>
      <c r="B14" s="2" t="s">
        <v>30</v>
      </c>
      <c r="C14" s="2">
        <v>0.08</v>
      </c>
      <c r="D14" s="2">
        <v>0.7</v>
      </c>
      <c r="E14" s="2">
        <v>0.3</v>
      </c>
      <c r="F14" s="2">
        <v>0</v>
      </c>
      <c r="G14" s="2">
        <v>0</v>
      </c>
      <c r="H14" s="2">
        <v>1</v>
      </c>
      <c r="I14" s="2">
        <v>1</v>
      </c>
      <c r="J14" s="2">
        <v>0</v>
      </c>
      <c r="K14" s="2">
        <v>0</v>
      </c>
      <c r="L14" s="2">
        <f t="shared" si="0"/>
        <v>5.5999999999999994E-2</v>
      </c>
      <c r="M14" s="2">
        <f t="shared" si="1"/>
        <v>2.4E-2</v>
      </c>
      <c r="N14" s="2">
        <f t="shared" si="2"/>
        <v>0</v>
      </c>
      <c r="O14" s="2">
        <f t="shared" si="3"/>
        <v>0</v>
      </c>
      <c r="P14" s="2">
        <f t="shared" si="4"/>
        <v>7.9999999999999988E-2</v>
      </c>
      <c r="Q14" s="2">
        <f t="shared" si="15"/>
        <v>0.70000000000000007</v>
      </c>
      <c r="R14" s="2">
        <f t="shared" si="6"/>
        <v>0.30000000000000004</v>
      </c>
      <c r="S14" s="2">
        <f t="shared" si="7"/>
        <v>0</v>
      </c>
      <c r="T14" s="2">
        <f t="shared" si="8"/>
        <v>0</v>
      </c>
      <c r="U14" s="9">
        <f>'GMV(Total)'!I4</f>
        <v>1.3372222222222225</v>
      </c>
      <c r="V14" s="9">
        <f t="shared" si="9"/>
        <v>0.10697777777777781</v>
      </c>
      <c r="W14" s="9">
        <f t="shared" si="10"/>
        <v>7.4884444444444476E-2</v>
      </c>
      <c r="X14" s="9">
        <f t="shared" si="11"/>
        <v>3.2093333333333349E-2</v>
      </c>
      <c r="Y14" s="9">
        <f t="shared" si="12"/>
        <v>0</v>
      </c>
      <c r="Z14" s="9">
        <f t="shared" si="13"/>
        <v>0</v>
      </c>
      <c r="AA14" s="11">
        <f>V14*Parameters!C22</f>
        <v>3.9581777777777792E-2</v>
      </c>
      <c r="AB14" s="11">
        <f>V14*Parameters!D22</f>
        <v>6.7396000000000011E-2</v>
      </c>
      <c r="AC14" s="60">
        <f>V14-AUM!O14</f>
        <v>0.10374936352862681</v>
      </c>
    </row>
    <row r="15" spans="1:34" x14ac:dyDescent="0.45">
      <c r="A15" s="2"/>
      <c r="B15" s="2" t="s">
        <v>32</v>
      </c>
      <c r="C15" s="2">
        <v>0.18</v>
      </c>
      <c r="D15" s="2">
        <v>0.7</v>
      </c>
      <c r="E15" s="2">
        <v>0.3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f t="shared" si="0"/>
        <v>0.126</v>
      </c>
      <c r="M15" s="2">
        <f t="shared" si="1"/>
        <v>0</v>
      </c>
      <c r="N15" s="2">
        <f t="shared" si="2"/>
        <v>0</v>
      </c>
      <c r="O15" s="2">
        <f t="shared" si="3"/>
        <v>0</v>
      </c>
      <c r="P15" s="2">
        <f t="shared" si="4"/>
        <v>0.126</v>
      </c>
      <c r="Q15" s="2">
        <f t="shared" si="15"/>
        <v>1</v>
      </c>
      <c r="R15" s="2">
        <f t="shared" si="6"/>
        <v>0</v>
      </c>
      <c r="S15" s="2">
        <f t="shared" si="7"/>
        <v>0</v>
      </c>
      <c r="T15" s="2">
        <f t="shared" si="8"/>
        <v>0</v>
      </c>
      <c r="U15" s="9">
        <f>'GMV(Total)'!I4</f>
        <v>1.3372222222222225</v>
      </c>
      <c r="V15" s="9">
        <f t="shared" si="9"/>
        <v>0.24070000000000005</v>
      </c>
      <c r="W15" s="9">
        <f t="shared" si="10"/>
        <v>0.24070000000000005</v>
      </c>
      <c r="X15" s="9">
        <f t="shared" si="11"/>
        <v>0</v>
      </c>
      <c r="Y15" s="9">
        <f t="shared" si="12"/>
        <v>0</v>
      </c>
      <c r="Z15" s="9">
        <f t="shared" si="13"/>
        <v>0</v>
      </c>
      <c r="AA15" s="11">
        <f>V15*Parameters!C23</f>
        <v>0</v>
      </c>
      <c r="AB15" s="11">
        <f>V15*Parameters!D23</f>
        <v>0.24070000000000005</v>
      </c>
      <c r="AC15" s="60">
        <f>V15-AUM!O15</f>
        <v>0.24070000000000005</v>
      </c>
    </row>
    <row r="16" spans="1:34" x14ac:dyDescent="0.45">
      <c r="A16" s="2"/>
      <c r="B16" s="2" t="s">
        <v>34</v>
      </c>
      <c r="C16" s="2">
        <v>0.18</v>
      </c>
      <c r="D16" s="2">
        <v>0.7</v>
      </c>
      <c r="E16" s="2">
        <v>0.3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f t="shared" si="0"/>
        <v>0.126</v>
      </c>
      <c r="M16" s="2">
        <f t="shared" si="1"/>
        <v>0</v>
      </c>
      <c r="N16" s="2">
        <f t="shared" si="2"/>
        <v>0</v>
      </c>
      <c r="O16" s="2">
        <f t="shared" si="3"/>
        <v>0</v>
      </c>
      <c r="P16" s="2">
        <f t="shared" si="4"/>
        <v>0.126</v>
      </c>
      <c r="Q16" s="2">
        <f t="shared" si="15"/>
        <v>1</v>
      </c>
      <c r="R16" s="2">
        <f t="shared" si="6"/>
        <v>0</v>
      </c>
      <c r="S16" s="2">
        <f t="shared" si="7"/>
        <v>0</v>
      </c>
      <c r="T16" s="2">
        <f t="shared" si="8"/>
        <v>0</v>
      </c>
      <c r="U16" s="9">
        <f>'GMV(Total)'!I4</f>
        <v>1.3372222222222225</v>
      </c>
      <c r="V16" s="9">
        <f t="shared" si="9"/>
        <v>0.24070000000000005</v>
      </c>
      <c r="W16" s="9">
        <f t="shared" si="10"/>
        <v>0.24070000000000005</v>
      </c>
      <c r="X16" s="9">
        <f t="shared" si="11"/>
        <v>0</v>
      </c>
      <c r="Y16" s="9">
        <f t="shared" si="12"/>
        <v>0</v>
      </c>
      <c r="Z16" s="9">
        <f t="shared" si="13"/>
        <v>0</v>
      </c>
      <c r="AA16" s="11">
        <f>V16*Parameters!C24</f>
        <v>0</v>
      </c>
      <c r="AB16" s="11">
        <f>V16*Parameters!D24</f>
        <v>0.24070000000000005</v>
      </c>
      <c r="AC16" s="60">
        <f>V16-AUM!O16</f>
        <v>0.24070000000000005</v>
      </c>
    </row>
    <row r="17" spans="1:29" s="7" customFormat="1" x14ac:dyDescent="0.45">
      <c r="A17" s="6" t="s">
        <v>13</v>
      </c>
      <c r="B17" s="6" t="s">
        <v>26</v>
      </c>
      <c r="C17" s="6">
        <v>0.34</v>
      </c>
      <c r="D17" s="6">
        <v>0.55000000000000004</v>
      </c>
      <c r="E17" s="6">
        <v>0.35</v>
      </c>
      <c r="F17" s="6">
        <v>0.1</v>
      </c>
      <c r="G17" s="6">
        <v>0</v>
      </c>
      <c r="H17" s="8">
        <v>1</v>
      </c>
      <c r="I17" s="8">
        <v>1</v>
      </c>
      <c r="J17" s="8">
        <v>1</v>
      </c>
      <c r="K17" s="8">
        <v>0</v>
      </c>
      <c r="L17" s="6">
        <f t="shared" si="0"/>
        <v>0.18700000000000003</v>
      </c>
      <c r="M17" s="6">
        <f t="shared" si="1"/>
        <v>0.11899999999999999</v>
      </c>
      <c r="N17" s="6">
        <f t="shared" si="2"/>
        <v>3.4000000000000002E-2</v>
      </c>
      <c r="O17" s="6">
        <f t="shared" si="3"/>
        <v>0</v>
      </c>
      <c r="P17" s="6">
        <f t="shared" si="4"/>
        <v>0.34000000000000008</v>
      </c>
      <c r="Q17" s="6">
        <f t="shared" si="15"/>
        <v>0.54999999999999993</v>
      </c>
      <c r="R17" s="6">
        <f t="shared" si="6"/>
        <v>0.34999999999999992</v>
      </c>
      <c r="S17" s="6">
        <f t="shared" si="7"/>
        <v>9.9999999999999978E-2</v>
      </c>
      <c r="T17" s="6">
        <f t="shared" si="8"/>
        <v>0</v>
      </c>
      <c r="U17" s="11">
        <f>'GMV(Total)'!I5</f>
        <v>2.4070000000000005</v>
      </c>
      <c r="V17" s="11">
        <f t="shared" si="9"/>
        <v>0.81838000000000022</v>
      </c>
      <c r="W17" s="11">
        <f t="shared" si="10"/>
        <v>0.45010900000000009</v>
      </c>
      <c r="X17" s="11">
        <f t="shared" si="11"/>
        <v>0.28643299999999999</v>
      </c>
      <c r="Y17" s="11">
        <f t="shared" si="12"/>
        <v>8.1838000000000008E-2</v>
      </c>
      <c r="Z17" s="11">
        <f t="shared" si="13"/>
        <v>0</v>
      </c>
      <c r="AA17" s="11">
        <f>V17*Parameters!C25</f>
        <v>0.28234110000000007</v>
      </c>
      <c r="AB17" s="11">
        <f>V17*Parameters!D25</f>
        <v>0.53603890000000021</v>
      </c>
      <c r="AC17" s="60">
        <f>V17-AUM!O17</f>
        <v>0.80565752409012148</v>
      </c>
    </row>
    <row r="18" spans="1:29" x14ac:dyDescent="0.45">
      <c r="A18" s="2"/>
      <c r="B18" s="2" t="s">
        <v>28</v>
      </c>
      <c r="C18" s="2">
        <v>0.28000000000000003</v>
      </c>
      <c r="D18" s="2">
        <v>0.55000000000000004</v>
      </c>
      <c r="E18" s="2">
        <v>0.35</v>
      </c>
      <c r="F18" s="2">
        <v>0.1</v>
      </c>
      <c r="G18" s="2">
        <v>0</v>
      </c>
      <c r="H18" s="5">
        <v>1</v>
      </c>
      <c r="I18" s="5">
        <v>1</v>
      </c>
      <c r="J18" s="5">
        <v>1</v>
      </c>
      <c r="K18" s="5">
        <v>0</v>
      </c>
      <c r="L18" s="2">
        <f t="shared" si="0"/>
        <v>0.15400000000000003</v>
      </c>
      <c r="M18" s="2">
        <f t="shared" si="1"/>
        <v>9.8000000000000004E-2</v>
      </c>
      <c r="N18" s="2">
        <f t="shared" si="2"/>
        <v>2.8000000000000004E-2</v>
      </c>
      <c r="O18" s="2">
        <f t="shared" si="3"/>
        <v>0</v>
      </c>
      <c r="P18" s="2">
        <f t="shared" si="4"/>
        <v>0.28000000000000003</v>
      </c>
      <c r="Q18" s="2">
        <f t="shared" si="15"/>
        <v>0.55000000000000004</v>
      </c>
      <c r="R18" s="2">
        <f t="shared" si="6"/>
        <v>0.35</v>
      </c>
      <c r="S18" s="2">
        <f t="shared" si="7"/>
        <v>0.1</v>
      </c>
      <c r="T18" s="2">
        <f t="shared" si="8"/>
        <v>0</v>
      </c>
      <c r="U18" s="9">
        <f>'GMV(Total)'!I5</f>
        <v>2.4070000000000005</v>
      </c>
      <c r="V18" s="9">
        <f t="shared" si="9"/>
        <v>0.67396000000000023</v>
      </c>
      <c r="W18" s="9">
        <f t="shared" si="10"/>
        <v>0.37067800000000017</v>
      </c>
      <c r="X18" s="9">
        <f t="shared" si="11"/>
        <v>0.23588600000000007</v>
      </c>
      <c r="Y18" s="9">
        <f t="shared" si="12"/>
        <v>6.7396000000000025E-2</v>
      </c>
      <c r="Z18" s="9">
        <f t="shared" si="13"/>
        <v>0</v>
      </c>
      <c r="AA18" s="11">
        <f>V18*Parameters!C26</f>
        <v>0.23251620000000009</v>
      </c>
      <c r="AB18" s="11">
        <f>V18*Parameters!D26</f>
        <v>0.44144380000000016</v>
      </c>
      <c r="AC18" s="60">
        <f>V18-AUM!O18</f>
        <v>0.66004032667375157</v>
      </c>
    </row>
    <row r="19" spans="1:29" x14ac:dyDescent="0.45">
      <c r="A19" s="2"/>
      <c r="B19" s="2" t="s">
        <v>30</v>
      </c>
      <c r="C19" s="2">
        <v>0.1</v>
      </c>
      <c r="D19" s="2">
        <v>0.55000000000000004</v>
      </c>
      <c r="E19" s="2">
        <v>0.35</v>
      </c>
      <c r="F19" s="2">
        <v>0.1</v>
      </c>
      <c r="G19" s="2">
        <v>0</v>
      </c>
      <c r="H19" s="5">
        <v>1</v>
      </c>
      <c r="I19" s="5">
        <v>1</v>
      </c>
      <c r="J19" s="5">
        <v>1</v>
      </c>
      <c r="K19" s="5">
        <v>0</v>
      </c>
      <c r="L19" s="2">
        <f t="shared" si="0"/>
        <v>5.5000000000000007E-2</v>
      </c>
      <c r="M19" s="2">
        <f t="shared" si="1"/>
        <v>3.4999999999999996E-2</v>
      </c>
      <c r="N19" s="2">
        <f t="shared" si="2"/>
        <v>1.0000000000000002E-2</v>
      </c>
      <c r="O19" s="2">
        <f t="shared" si="3"/>
        <v>0</v>
      </c>
      <c r="P19" s="2">
        <f t="shared" si="4"/>
        <v>0.1</v>
      </c>
      <c r="Q19" s="2">
        <f t="shared" si="15"/>
        <v>0.55000000000000004</v>
      </c>
      <c r="R19" s="2">
        <f t="shared" si="6"/>
        <v>0.34999999999999992</v>
      </c>
      <c r="S19" s="2">
        <f t="shared" si="7"/>
        <v>0.10000000000000002</v>
      </c>
      <c r="T19" s="2">
        <f t="shared" si="8"/>
        <v>0</v>
      </c>
      <c r="U19" s="9">
        <f>'GMV(Total)'!I5</f>
        <v>2.4070000000000005</v>
      </c>
      <c r="V19" s="9">
        <f t="shared" si="9"/>
        <v>0.24070000000000005</v>
      </c>
      <c r="W19" s="9">
        <f t="shared" si="10"/>
        <v>0.13238500000000003</v>
      </c>
      <c r="X19" s="9">
        <f t="shared" si="11"/>
        <v>8.4245E-2</v>
      </c>
      <c r="Y19" s="9">
        <f t="shared" si="12"/>
        <v>2.4070000000000012E-2</v>
      </c>
      <c r="Z19" s="9">
        <f t="shared" si="13"/>
        <v>0</v>
      </c>
      <c r="AA19" s="11">
        <f>V19*Parameters!C27</f>
        <v>8.3041500000000032E-2</v>
      </c>
      <c r="AB19" s="11">
        <f>V19*Parameters!D27</f>
        <v>0.15765850000000003</v>
      </c>
      <c r="AC19" s="60">
        <f>V19-AUM!O19</f>
        <v>0.2339277846484743</v>
      </c>
    </row>
    <row r="20" spans="1:29" x14ac:dyDescent="0.45">
      <c r="A20" s="2"/>
      <c r="B20" s="2" t="s">
        <v>32</v>
      </c>
      <c r="C20" s="2">
        <v>0.14000000000000001</v>
      </c>
      <c r="D20" s="2">
        <v>0.55000000000000004</v>
      </c>
      <c r="E20" s="2">
        <v>0.35</v>
      </c>
      <c r="F20" s="2">
        <v>0.1</v>
      </c>
      <c r="G20" s="2">
        <v>0</v>
      </c>
      <c r="H20" s="5">
        <v>1</v>
      </c>
      <c r="I20" s="5">
        <v>0</v>
      </c>
      <c r="J20" s="5">
        <v>0</v>
      </c>
      <c r="K20" s="5">
        <v>0</v>
      </c>
      <c r="L20" s="2">
        <f t="shared" si="0"/>
        <v>7.7000000000000013E-2</v>
      </c>
      <c r="M20" s="2">
        <f t="shared" si="1"/>
        <v>0</v>
      </c>
      <c r="N20" s="2">
        <f t="shared" si="2"/>
        <v>0</v>
      </c>
      <c r="O20" s="2">
        <f t="shared" si="3"/>
        <v>0</v>
      </c>
      <c r="P20" s="2">
        <f t="shared" si="4"/>
        <v>7.7000000000000013E-2</v>
      </c>
      <c r="Q20" s="2">
        <f t="shared" si="15"/>
        <v>1</v>
      </c>
      <c r="R20" s="2">
        <f t="shared" si="6"/>
        <v>0</v>
      </c>
      <c r="S20" s="2">
        <f t="shared" si="7"/>
        <v>0</v>
      </c>
      <c r="T20" s="2">
        <f t="shared" si="8"/>
        <v>0</v>
      </c>
      <c r="U20" s="9">
        <f>'GMV(Total)'!I5</f>
        <v>2.4070000000000005</v>
      </c>
      <c r="V20" s="9">
        <f t="shared" si="9"/>
        <v>0.33698000000000011</v>
      </c>
      <c r="W20" s="9">
        <f t="shared" si="10"/>
        <v>0.33698000000000011</v>
      </c>
      <c r="X20" s="9">
        <f t="shared" si="11"/>
        <v>0</v>
      </c>
      <c r="Y20" s="9">
        <f t="shared" si="12"/>
        <v>0</v>
      </c>
      <c r="Z20" s="9">
        <f t="shared" si="13"/>
        <v>0</v>
      </c>
      <c r="AA20" s="11">
        <f>V20*Parameters!C28</f>
        <v>0</v>
      </c>
      <c r="AB20" s="11">
        <f>V20*Parameters!D28</f>
        <v>0.33698000000000011</v>
      </c>
      <c r="AC20" s="60">
        <f>V20-AUM!O20</f>
        <v>0.33698000000000011</v>
      </c>
    </row>
    <row r="21" spans="1:29" x14ac:dyDescent="0.45">
      <c r="A21" s="2"/>
      <c r="B21" s="2" t="s">
        <v>34</v>
      </c>
      <c r="C21" s="2">
        <v>0.14000000000000001</v>
      </c>
      <c r="D21" s="2">
        <v>0.55000000000000004</v>
      </c>
      <c r="E21" s="2">
        <v>0.35</v>
      </c>
      <c r="F21" s="2">
        <v>0.1</v>
      </c>
      <c r="G21" s="2">
        <v>0</v>
      </c>
      <c r="H21" s="5">
        <v>1</v>
      </c>
      <c r="I21" s="5">
        <v>0</v>
      </c>
      <c r="J21" s="5">
        <v>0</v>
      </c>
      <c r="K21" s="5">
        <v>0</v>
      </c>
      <c r="L21" s="2">
        <f t="shared" si="0"/>
        <v>7.7000000000000013E-2</v>
      </c>
      <c r="M21" s="2">
        <f t="shared" si="1"/>
        <v>0</v>
      </c>
      <c r="N21" s="2">
        <f t="shared" si="2"/>
        <v>0</v>
      </c>
      <c r="O21" s="2">
        <f t="shared" si="3"/>
        <v>0</v>
      </c>
      <c r="P21" s="2">
        <f t="shared" si="4"/>
        <v>7.7000000000000013E-2</v>
      </c>
      <c r="Q21" s="2">
        <f t="shared" si="15"/>
        <v>1</v>
      </c>
      <c r="R21" s="2">
        <f t="shared" si="6"/>
        <v>0</v>
      </c>
      <c r="S21" s="2">
        <f t="shared" si="7"/>
        <v>0</v>
      </c>
      <c r="T21" s="2">
        <f t="shared" si="8"/>
        <v>0</v>
      </c>
      <c r="U21" s="9">
        <f>'GMV(Total)'!I5</f>
        <v>2.4070000000000005</v>
      </c>
      <c r="V21" s="9">
        <f t="shared" si="9"/>
        <v>0.33698000000000011</v>
      </c>
      <c r="W21" s="9">
        <f t="shared" si="10"/>
        <v>0.33698000000000011</v>
      </c>
      <c r="X21" s="9">
        <f t="shared" si="11"/>
        <v>0</v>
      </c>
      <c r="Y21" s="9">
        <f t="shared" si="12"/>
        <v>0</v>
      </c>
      <c r="Z21" s="9">
        <f t="shared" si="13"/>
        <v>0</v>
      </c>
      <c r="AA21" s="11">
        <f>V21*Parameters!C29</f>
        <v>0</v>
      </c>
      <c r="AB21" s="11">
        <f>V21*Parameters!D29</f>
        <v>0.33698000000000011</v>
      </c>
      <c r="AC21" s="60">
        <f>V21-AUM!O21</f>
        <v>0.33698000000000011</v>
      </c>
    </row>
    <row r="22" spans="1:29" s="7" customFormat="1" x14ac:dyDescent="0.45">
      <c r="A22" s="6" t="s">
        <v>14</v>
      </c>
      <c r="B22" s="6" t="s">
        <v>26</v>
      </c>
      <c r="C22" s="6">
        <v>0.4</v>
      </c>
      <c r="D22" s="6">
        <v>0.4</v>
      </c>
      <c r="E22" s="6">
        <v>0.4</v>
      </c>
      <c r="F22" s="6">
        <v>0.2</v>
      </c>
      <c r="G22" s="6">
        <v>0</v>
      </c>
      <c r="H22" s="8">
        <v>1</v>
      </c>
      <c r="I22" s="8">
        <v>1</v>
      </c>
      <c r="J22" s="8">
        <v>1</v>
      </c>
      <c r="K22" s="8">
        <v>0</v>
      </c>
      <c r="L22" s="6">
        <f t="shared" si="0"/>
        <v>0.16000000000000003</v>
      </c>
      <c r="M22" s="6">
        <f t="shared" si="1"/>
        <v>0.16000000000000003</v>
      </c>
      <c r="N22" s="6">
        <f t="shared" si="2"/>
        <v>8.0000000000000016E-2</v>
      </c>
      <c r="O22" s="6">
        <f t="shared" si="3"/>
        <v>0</v>
      </c>
      <c r="P22" s="6">
        <f t="shared" si="4"/>
        <v>0.40000000000000008</v>
      </c>
      <c r="Q22" s="6">
        <f t="shared" si="15"/>
        <v>0.4</v>
      </c>
      <c r="R22" s="6">
        <f t="shared" si="6"/>
        <v>0.4</v>
      </c>
      <c r="S22" s="6">
        <f t="shared" si="7"/>
        <v>0.2</v>
      </c>
      <c r="T22" s="6">
        <f t="shared" si="8"/>
        <v>0</v>
      </c>
      <c r="U22" s="11">
        <f>'GMV(Total)'!I6</f>
        <v>3.6105000000000005</v>
      </c>
      <c r="V22" s="11">
        <f t="shared" si="9"/>
        <v>1.4442000000000004</v>
      </c>
      <c r="W22" s="11">
        <f t="shared" si="10"/>
        <v>0.57768000000000019</v>
      </c>
      <c r="X22" s="11">
        <f t="shared" si="11"/>
        <v>0.57768000000000019</v>
      </c>
      <c r="Y22" s="11">
        <f t="shared" si="12"/>
        <v>0.2888400000000001</v>
      </c>
      <c r="Z22" s="11">
        <f t="shared" si="13"/>
        <v>0</v>
      </c>
      <c r="AA22" s="11">
        <f>V22*Parameters!C30</f>
        <v>0.46214400000000022</v>
      </c>
      <c r="AB22" s="11">
        <f>V22*Parameters!D30</f>
        <v>0.98205600000000015</v>
      </c>
      <c r="AC22" s="60">
        <f>V22-AUM!O22</f>
        <v>1.422728707964602</v>
      </c>
    </row>
    <row r="23" spans="1:29" x14ac:dyDescent="0.45">
      <c r="A23" s="2"/>
      <c r="B23" s="2" t="s">
        <v>28</v>
      </c>
      <c r="C23" s="2">
        <v>0.28000000000000003</v>
      </c>
      <c r="D23" s="2">
        <v>0.4</v>
      </c>
      <c r="E23" s="2">
        <v>0.4</v>
      </c>
      <c r="F23" s="2">
        <v>0.2</v>
      </c>
      <c r="G23" s="2">
        <v>0</v>
      </c>
      <c r="H23" s="5">
        <v>1</v>
      </c>
      <c r="I23" s="5">
        <v>1</v>
      </c>
      <c r="J23" s="5">
        <v>1</v>
      </c>
      <c r="K23" s="5">
        <v>0</v>
      </c>
      <c r="L23" s="2">
        <f t="shared" si="0"/>
        <v>0.11200000000000002</v>
      </c>
      <c r="M23" s="2">
        <f t="shared" si="1"/>
        <v>0.11200000000000002</v>
      </c>
      <c r="N23" s="2">
        <f t="shared" si="2"/>
        <v>5.6000000000000008E-2</v>
      </c>
      <c r="O23" s="2">
        <f t="shared" si="3"/>
        <v>0</v>
      </c>
      <c r="P23" s="2">
        <f t="shared" si="4"/>
        <v>0.28000000000000003</v>
      </c>
      <c r="Q23" s="2">
        <f t="shared" si="15"/>
        <v>0.4</v>
      </c>
      <c r="R23" s="2">
        <f t="shared" si="6"/>
        <v>0.4</v>
      </c>
      <c r="S23" s="2">
        <f t="shared" si="7"/>
        <v>0.2</v>
      </c>
      <c r="T23" s="2">
        <f t="shared" si="8"/>
        <v>0</v>
      </c>
      <c r="U23" s="9">
        <f>'GMV(Total)'!I6</f>
        <v>3.6105000000000005</v>
      </c>
      <c r="V23" s="9">
        <f t="shared" si="9"/>
        <v>1.0109400000000002</v>
      </c>
      <c r="W23" s="9">
        <f t="shared" si="10"/>
        <v>0.40437600000000007</v>
      </c>
      <c r="X23" s="9">
        <f t="shared" si="11"/>
        <v>0.40437600000000007</v>
      </c>
      <c r="Y23" s="9">
        <f t="shared" si="12"/>
        <v>0.20218800000000003</v>
      </c>
      <c r="Z23" s="9">
        <f t="shared" si="13"/>
        <v>0</v>
      </c>
      <c r="AA23" s="11">
        <f>V23*Parameters!C31</f>
        <v>0.32350080000000014</v>
      </c>
      <c r="AB23" s="11">
        <f>V23*Parameters!D31</f>
        <v>0.68743920000000003</v>
      </c>
      <c r="AC23" s="60">
        <f>V23-AUM!O23</f>
        <v>0.99120905308311014</v>
      </c>
    </row>
    <row r="24" spans="1:29" x14ac:dyDescent="0.45">
      <c r="A24" s="2"/>
      <c r="B24" s="2" t="s">
        <v>30</v>
      </c>
      <c r="C24" s="2">
        <v>0.12</v>
      </c>
      <c r="D24" s="2">
        <v>0.4</v>
      </c>
      <c r="E24" s="2">
        <v>0.4</v>
      </c>
      <c r="F24" s="2">
        <v>0.2</v>
      </c>
      <c r="G24" s="2">
        <v>0</v>
      </c>
      <c r="H24" s="5">
        <v>1</v>
      </c>
      <c r="I24" s="5">
        <v>1</v>
      </c>
      <c r="J24" s="5">
        <v>1</v>
      </c>
      <c r="K24" s="5">
        <v>0</v>
      </c>
      <c r="L24" s="2">
        <f t="shared" si="0"/>
        <v>4.8000000000000001E-2</v>
      </c>
      <c r="M24" s="2">
        <f t="shared" si="1"/>
        <v>4.8000000000000001E-2</v>
      </c>
      <c r="N24" s="2">
        <f t="shared" si="2"/>
        <v>2.4E-2</v>
      </c>
      <c r="O24" s="2">
        <f t="shared" si="3"/>
        <v>0</v>
      </c>
      <c r="P24" s="2">
        <f t="shared" si="4"/>
        <v>0.12</v>
      </c>
      <c r="Q24" s="2">
        <f t="shared" si="15"/>
        <v>0.4</v>
      </c>
      <c r="R24" s="2">
        <f t="shared" si="6"/>
        <v>0.4</v>
      </c>
      <c r="S24" s="2">
        <f t="shared" si="7"/>
        <v>0.2</v>
      </c>
      <c r="T24" s="2">
        <f t="shared" si="8"/>
        <v>0</v>
      </c>
      <c r="U24" s="9">
        <f>'GMV(Total)'!I6</f>
        <v>3.6105000000000005</v>
      </c>
      <c r="V24" s="9">
        <f t="shared" si="9"/>
        <v>0.43326000000000003</v>
      </c>
      <c r="W24" s="9">
        <f t="shared" si="10"/>
        <v>0.17330400000000001</v>
      </c>
      <c r="X24" s="9">
        <f t="shared" si="11"/>
        <v>0.17330400000000001</v>
      </c>
      <c r="Y24" s="9">
        <f t="shared" si="12"/>
        <v>8.6652000000000007E-2</v>
      </c>
      <c r="Z24" s="9">
        <f t="shared" si="13"/>
        <v>0</v>
      </c>
      <c r="AA24" s="11">
        <f>V24*Parameters!C32</f>
        <v>0.13864320000000005</v>
      </c>
      <c r="AB24" s="11">
        <f>V24*Parameters!D32</f>
        <v>0.29461680000000001</v>
      </c>
      <c r="AC24" s="60">
        <f>V24-AUM!O24</f>
        <v>0.42195486451612907</v>
      </c>
    </row>
    <row r="25" spans="1:29" x14ac:dyDescent="0.45">
      <c r="A25" s="2"/>
      <c r="B25" s="2" t="s">
        <v>32</v>
      </c>
      <c r="C25" s="2">
        <v>0.1</v>
      </c>
      <c r="D25" s="2">
        <v>0.4</v>
      </c>
      <c r="E25" s="2">
        <v>0.4</v>
      </c>
      <c r="F25" s="2">
        <v>0.2</v>
      </c>
      <c r="G25" s="2">
        <v>0</v>
      </c>
      <c r="H25" s="5">
        <v>1</v>
      </c>
      <c r="I25" s="5">
        <v>0</v>
      </c>
      <c r="J25" s="5">
        <v>0</v>
      </c>
      <c r="K25" s="5">
        <v>0</v>
      </c>
      <c r="L25" s="2">
        <f t="shared" si="0"/>
        <v>4.0000000000000008E-2</v>
      </c>
      <c r="M25" s="2">
        <f t="shared" si="1"/>
        <v>0</v>
      </c>
      <c r="N25" s="2">
        <f t="shared" si="2"/>
        <v>0</v>
      </c>
      <c r="O25" s="2">
        <f t="shared" si="3"/>
        <v>0</v>
      </c>
      <c r="P25" s="2">
        <f t="shared" si="4"/>
        <v>4.0000000000000008E-2</v>
      </c>
      <c r="Q25" s="2">
        <f t="shared" si="15"/>
        <v>1</v>
      </c>
      <c r="R25" s="2">
        <f t="shared" si="6"/>
        <v>0</v>
      </c>
      <c r="S25" s="2">
        <f t="shared" si="7"/>
        <v>0</v>
      </c>
      <c r="T25" s="2">
        <f t="shared" si="8"/>
        <v>0</v>
      </c>
      <c r="U25" s="9">
        <f>'GMV(Total)'!I6</f>
        <v>3.6105000000000005</v>
      </c>
      <c r="V25" s="9">
        <f t="shared" si="9"/>
        <v>0.36105000000000009</v>
      </c>
      <c r="W25" s="9">
        <f t="shared" si="10"/>
        <v>0.36105000000000009</v>
      </c>
      <c r="X25" s="9">
        <f t="shared" si="11"/>
        <v>0</v>
      </c>
      <c r="Y25" s="9">
        <f t="shared" si="12"/>
        <v>0</v>
      </c>
      <c r="Z25" s="9">
        <f t="shared" si="13"/>
        <v>0</v>
      </c>
      <c r="AA25" s="11">
        <f>V25*Parameters!C33</f>
        <v>0</v>
      </c>
      <c r="AB25" s="11">
        <f>V25*Parameters!D33</f>
        <v>0.36105000000000009</v>
      </c>
      <c r="AC25" s="60">
        <f>V25-AUM!O25</f>
        <v>0.36105000000000009</v>
      </c>
    </row>
    <row r="26" spans="1:29" x14ac:dyDescent="0.45">
      <c r="A26" s="2"/>
      <c r="B26" s="2" t="s">
        <v>34</v>
      </c>
      <c r="C26" s="2">
        <v>0.1</v>
      </c>
      <c r="D26" s="2">
        <v>0.4</v>
      </c>
      <c r="E26" s="2">
        <v>0.4</v>
      </c>
      <c r="F26" s="2">
        <v>0.2</v>
      </c>
      <c r="G26" s="2">
        <v>0</v>
      </c>
      <c r="H26" s="5">
        <v>1</v>
      </c>
      <c r="I26" s="5">
        <v>0</v>
      </c>
      <c r="J26" s="5">
        <v>0</v>
      </c>
      <c r="K26" s="5">
        <v>0</v>
      </c>
      <c r="L26" s="2">
        <f t="shared" si="0"/>
        <v>4.0000000000000008E-2</v>
      </c>
      <c r="M26" s="2">
        <f t="shared" si="1"/>
        <v>0</v>
      </c>
      <c r="N26" s="2">
        <f t="shared" si="2"/>
        <v>0</v>
      </c>
      <c r="O26" s="2">
        <f t="shared" si="3"/>
        <v>0</v>
      </c>
      <c r="P26" s="2">
        <f t="shared" si="4"/>
        <v>4.0000000000000008E-2</v>
      </c>
      <c r="Q26" s="2">
        <f t="shared" si="15"/>
        <v>1</v>
      </c>
      <c r="R26" s="2">
        <f t="shared" si="6"/>
        <v>0</v>
      </c>
      <c r="S26" s="2">
        <f t="shared" si="7"/>
        <v>0</v>
      </c>
      <c r="T26" s="2">
        <f t="shared" si="8"/>
        <v>0</v>
      </c>
      <c r="U26" s="9">
        <f>'GMV(Total)'!I6</f>
        <v>3.6105000000000005</v>
      </c>
      <c r="V26" s="9">
        <f t="shared" si="9"/>
        <v>0.36105000000000009</v>
      </c>
      <c r="W26" s="9">
        <f t="shared" si="10"/>
        <v>0.36105000000000009</v>
      </c>
      <c r="X26" s="9">
        <f t="shared" si="11"/>
        <v>0</v>
      </c>
      <c r="Y26" s="9">
        <f t="shared" si="12"/>
        <v>0</v>
      </c>
      <c r="Z26" s="9">
        <f t="shared" si="13"/>
        <v>0</v>
      </c>
      <c r="AA26" s="11">
        <f>V26*Parameters!C34</f>
        <v>0</v>
      </c>
      <c r="AB26" s="11">
        <f>V26*Parameters!D34</f>
        <v>0.36105000000000009</v>
      </c>
      <c r="AC26" s="60">
        <f>V26-AUM!O26</f>
        <v>0.36105000000000009</v>
      </c>
    </row>
    <row r="27" spans="1:29" s="7" customFormat="1" x14ac:dyDescent="0.45">
      <c r="A27" s="6" t="s">
        <v>15</v>
      </c>
      <c r="B27" s="8" t="s">
        <v>25</v>
      </c>
      <c r="C27" s="6">
        <v>0.45</v>
      </c>
      <c r="D27" s="6">
        <v>0.3</v>
      </c>
      <c r="E27" s="6">
        <v>0.35</v>
      </c>
      <c r="F27" s="6">
        <v>0.2</v>
      </c>
      <c r="G27" s="6">
        <v>0.15</v>
      </c>
      <c r="H27" s="8">
        <v>1</v>
      </c>
      <c r="I27" s="8">
        <v>1</v>
      </c>
      <c r="J27" s="8">
        <v>1</v>
      </c>
      <c r="K27" s="8">
        <v>1</v>
      </c>
      <c r="L27" s="6">
        <f t="shared" si="0"/>
        <v>0.13500000000000001</v>
      </c>
      <c r="M27" s="6">
        <f t="shared" si="1"/>
        <v>0.1575</v>
      </c>
      <c r="N27" s="6">
        <f t="shared" si="2"/>
        <v>9.0000000000000011E-2</v>
      </c>
      <c r="O27" s="6">
        <f t="shared" si="3"/>
        <v>6.7500000000000004E-2</v>
      </c>
      <c r="P27" s="6">
        <f t="shared" si="4"/>
        <v>0.45</v>
      </c>
      <c r="Q27" s="6">
        <f t="shared" si="15"/>
        <v>0.3</v>
      </c>
      <c r="R27" s="6">
        <f t="shared" si="6"/>
        <v>0.35</v>
      </c>
      <c r="S27" s="6">
        <f t="shared" si="7"/>
        <v>0.2</v>
      </c>
      <c r="T27" s="6">
        <f t="shared" si="8"/>
        <v>0.15</v>
      </c>
      <c r="U27" s="11">
        <f>'GMV(Total)'!I7</f>
        <v>4.3326000000000002</v>
      </c>
      <c r="V27" s="11">
        <f t="shared" si="9"/>
        <v>1.9496700000000002</v>
      </c>
      <c r="W27" s="11">
        <f t="shared" si="10"/>
        <v>0.584901</v>
      </c>
      <c r="X27" s="11">
        <f t="shared" si="11"/>
        <v>0.68238450000000006</v>
      </c>
      <c r="Y27" s="11">
        <f t="shared" si="12"/>
        <v>0.38993400000000006</v>
      </c>
      <c r="Z27" s="11">
        <f t="shared" si="13"/>
        <v>0.2924505</v>
      </c>
      <c r="AA27" s="11">
        <f>V27*Parameters!C35</f>
        <v>0.51666255000000005</v>
      </c>
      <c r="AB27" s="11">
        <f>V27*Parameters!D35</f>
        <v>1.4330074500000001</v>
      </c>
      <c r="AC27" s="60">
        <f>V27-AUM!O27</f>
        <v>1.9253075335825189</v>
      </c>
    </row>
    <row r="28" spans="1:29" x14ac:dyDescent="0.45">
      <c r="A28" s="2"/>
      <c r="B28" s="5" t="s">
        <v>27</v>
      </c>
      <c r="C28" s="2">
        <v>0.28000000000000003</v>
      </c>
      <c r="D28" s="2">
        <v>0.3</v>
      </c>
      <c r="E28" s="2">
        <v>0.35</v>
      </c>
      <c r="F28" s="2">
        <v>0.2</v>
      </c>
      <c r="G28" s="2">
        <v>0.15</v>
      </c>
      <c r="H28" s="5">
        <v>1</v>
      </c>
      <c r="I28" s="5">
        <v>1</v>
      </c>
      <c r="J28" s="5">
        <v>1</v>
      </c>
      <c r="K28" s="5">
        <v>0</v>
      </c>
      <c r="L28" s="2">
        <f t="shared" si="0"/>
        <v>8.4000000000000005E-2</v>
      </c>
      <c r="M28" s="2">
        <f t="shared" si="1"/>
        <v>9.8000000000000004E-2</v>
      </c>
      <c r="N28" s="2">
        <f t="shared" si="2"/>
        <v>5.6000000000000008E-2</v>
      </c>
      <c r="O28" s="2">
        <f t="shared" si="3"/>
        <v>0</v>
      </c>
      <c r="P28" s="2">
        <f t="shared" si="4"/>
        <v>0.23799999999999999</v>
      </c>
      <c r="Q28" s="2">
        <f t="shared" si="15"/>
        <v>0.35294117647058826</v>
      </c>
      <c r="R28" s="2">
        <f t="shared" si="6"/>
        <v>0.41176470588235298</v>
      </c>
      <c r="S28" s="2">
        <f t="shared" si="7"/>
        <v>0.23529411764705888</v>
      </c>
      <c r="T28" s="2">
        <f t="shared" si="8"/>
        <v>0</v>
      </c>
      <c r="U28" s="9">
        <f>'GMV(Total)'!I7</f>
        <v>4.3326000000000002</v>
      </c>
      <c r="V28" s="9">
        <f t="shared" si="9"/>
        <v>1.2131280000000002</v>
      </c>
      <c r="W28" s="9">
        <f t="shared" si="10"/>
        <v>0.42816282352941187</v>
      </c>
      <c r="X28" s="9">
        <f t="shared" si="11"/>
        <v>0.49952329411764718</v>
      </c>
      <c r="Y28" s="9">
        <f t="shared" si="12"/>
        <v>0.28544188235294127</v>
      </c>
      <c r="Z28" s="9">
        <f t="shared" si="13"/>
        <v>0</v>
      </c>
      <c r="AA28" s="11">
        <f>V28*Parameters!C36</f>
        <v>0.37821049411764718</v>
      </c>
      <c r="AB28" s="11">
        <f>V28*Parameters!D36</f>
        <v>0.83491750588235303</v>
      </c>
      <c r="AC28" s="60">
        <f>V28-AUM!O28</f>
        <v>1.1899238521516911</v>
      </c>
    </row>
    <row r="29" spans="1:29" x14ac:dyDescent="0.45">
      <c r="A29" s="2"/>
      <c r="B29" s="5" t="s">
        <v>29</v>
      </c>
      <c r="C29" s="2">
        <v>0.12</v>
      </c>
      <c r="D29" s="2">
        <v>0.3</v>
      </c>
      <c r="E29" s="2">
        <v>0.35</v>
      </c>
      <c r="F29" s="2">
        <v>0.2</v>
      </c>
      <c r="G29" s="2">
        <v>0.15</v>
      </c>
      <c r="H29" s="5">
        <v>1</v>
      </c>
      <c r="I29" s="5">
        <v>1</v>
      </c>
      <c r="J29" s="5">
        <v>1</v>
      </c>
      <c r="K29" s="5">
        <v>0</v>
      </c>
      <c r="L29" s="2">
        <f t="shared" si="0"/>
        <v>3.5999999999999997E-2</v>
      </c>
      <c r="M29" s="2">
        <f t="shared" si="1"/>
        <v>4.1999999999999996E-2</v>
      </c>
      <c r="N29" s="2">
        <f t="shared" si="2"/>
        <v>2.4E-2</v>
      </c>
      <c r="O29" s="2">
        <f t="shared" si="3"/>
        <v>0</v>
      </c>
      <c r="P29" s="2">
        <f t="shared" si="4"/>
        <v>0.10199999999999998</v>
      </c>
      <c r="Q29" s="2">
        <f t="shared" si="15"/>
        <v>0.35294117647058826</v>
      </c>
      <c r="R29" s="2">
        <f t="shared" si="6"/>
        <v>0.41176470588235298</v>
      </c>
      <c r="S29" s="2">
        <f t="shared" si="7"/>
        <v>0.23529411764705888</v>
      </c>
      <c r="T29" s="2">
        <f t="shared" si="8"/>
        <v>0</v>
      </c>
      <c r="U29" s="9">
        <f>'GMV(Total)'!I7</f>
        <v>4.3326000000000002</v>
      </c>
      <c r="V29" s="9">
        <f t="shared" si="9"/>
        <v>0.51991200000000004</v>
      </c>
      <c r="W29" s="9">
        <f t="shared" si="10"/>
        <v>0.1834983529411765</v>
      </c>
      <c r="X29" s="9">
        <f t="shared" si="11"/>
        <v>0.21408141176470591</v>
      </c>
      <c r="Y29" s="9">
        <f t="shared" si="12"/>
        <v>0.12233223529411769</v>
      </c>
      <c r="Z29" s="9">
        <f t="shared" si="13"/>
        <v>0</v>
      </c>
      <c r="AA29" s="11">
        <f>V29*Parameters!C37</f>
        <v>0.16209021176470592</v>
      </c>
      <c r="AB29" s="11">
        <f>V29*Parameters!D37</f>
        <v>0.35782178823529415</v>
      </c>
      <c r="AC29" s="60">
        <f>V29-AUM!O29</f>
        <v>0.50669496660341562</v>
      </c>
    </row>
    <row r="30" spans="1:29" x14ac:dyDescent="0.45">
      <c r="A30" s="2"/>
      <c r="B30" s="5" t="s">
        <v>31</v>
      </c>
      <c r="C30" s="2">
        <v>0.08</v>
      </c>
      <c r="D30" s="2">
        <v>0.3</v>
      </c>
      <c r="E30" s="2">
        <v>0.35</v>
      </c>
      <c r="F30" s="2">
        <v>0.2</v>
      </c>
      <c r="G30" s="2">
        <v>0.15</v>
      </c>
      <c r="H30" s="5">
        <v>1</v>
      </c>
      <c r="I30" s="5">
        <v>0</v>
      </c>
      <c r="J30" s="5">
        <v>0</v>
      </c>
      <c r="K30" s="5">
        <v>0</v>
      </c>
      <c r="L30" s="2">
        <f t="shared" si="0"/>
        <v>2.4E-2</v>
      </c>
      <c r="M30" s="2">
        <f t="shared" si="1"/>
        <v>0</v>
      </c>
      <c r="N30" s="2">
        <f t="shared" si="2"/>
        <v>0</v>
      </c>
      <c r="O30" s="2">
        <f t="shared" si="3"/>
        <v>0</v>
      </c>
      <c r="P30" s="2">
        <f t="shared" si="4"/>
        <v>2.4E-2</v>
      </c>
      <c r="Q30" s="2">
        <f t="shared" si="15"/>
        <v>1</v>
      </c>
      <c r="R30" s="2">
        <f t="shared" si="6"/>
        <v>0</v>
      </c>
      <c r="S30" s="2">
        <f t="shared" si="7"/>
        <v>0</v>
      </c>
      <c r="T30" s="2">
        <f t="shared" si="8"/>
        <v>0</v>
      </c>
      <c r="U30" s="9">
        <f>'GMV(Total)'!I7</f>
        <v>4.3326000000000002</v>
      </c>
      <c r="V30" s="9">
        <f t="shared" si="9"/>
        <v>0.34660800000000003</v>
      </c>
      <c r="W30" s="9">
        <f t="shared" si="10"/>
        <v>0.34660800000000003</v>
      </c>
      <c r="X30" s="9">
        <f t="shared" si="11"/>
        <v>0</v>
      </c>
      <c r="Y30" s="9">
        <f t="shared" si="12"/>
        <v>0</v>
      </c>
      <c r="Z30" s="9">
        <f t="shared" si="13"/>
        <v>0</v>
      </c>
      <c r="AA30" s="11">
        <f>V30*Parameters!C38</f>
        <v>0</v>
      </c>
      <c r="AB30" s="11">
        <f>V30*Parameters!D38</f>
        <v>0.34660800000000003</v>
      </c>
      <c r="AC30" s="60">
        <f>V30-AUM!O30</f>
        <v>0.34660800000000003</v>
      </c>
    </row>
    <row r="31" spans="1:29" x14ac:dyDescent="0.45">
      <c r="A31" s="2"/>
      <c r="B31" s="5" t="s">
        <v>33</v>
      </c>
      <c r="C31" s="2">
        <v>7.0000000000000007E-2</v>
      </c>
      <c r="D31" s="2">
        <v>0.3</v>
      </c>
      <c r="E31" s="2">
        <v>0.35</v>
      </c>
      <c r="F31" s="2">
        <v>0.2</v>
      </c>
      <c r="G31" s="2">
        <v>0.15</v>
      </c>
      <c r="H31" s="5">
        <v>1</v>
      </c>
      <c r="I31" s="5">
        <v>0</v>
      </c>
      <c r="J31" s="5">
        <v>0</v>
      </c>
      <c r="K31" s="5">
        <v>0</v>
      </c>
      <c r="L31" s="2">
        <f t="shared" si="0"/>
        <v>2.1000000000000001E-2</v>
      </c>
      <c r="M31" s="2">
        <f t="shared" si="1"/>
        <v>0</v>
      </c>
      <c r="N31" s="2">
        <f t="shared" si="2"/>
        <v>0</v>
      </c>
      <c r="O31" s="2">
        <f t="shared" si="3"/>
        <v>0</v>
      </c>
      <c r="P31" s="2">
        <f t="shared" si="4"/>
        <v>2.1000000000000001E-2</v>
      </c>
      <c r="Q31" s="2">
        <f t="shared" si="15"/>
        <v>1</v>
      </c>
      <c r="R31" s="2">
        <f t="shared" si="6"/>
        <v>0</v>
      </c>
      <c r="S31" s="2">
        <f t="shared" si="7"/>
        <v>0</v>
      </c>
      <c r="T31" s="2">
        <f t="shared" si="8"/>
        <v>0</v>
      </c>
      <c r="U31" s="9">
        <f>'GMV(Total)'!I7</f>
        <v>4.3326000000000002</v>
      </c>
      <c r="V31" s="9">
        <f t="shared" si="9"/>
        <v>0.30328200000000005</v>
      </c>
      <c r="W31" s="9">
        <f t="shared" si="10"/>
        <v>0.30328200000000005</v>
      </c>
      <c r="X31" s="9">
        <f t="shared" si="11"/>
        <v>0</v>
      </c>
      <c r="Y31" s="9">
        <f t="shared" si="12"/>
        <v>0</v>
      </c>
      <c r="Z31" s="9">
        <f t="shared" si="13"/>
        <v>0</v>
      </c>
      <c r="AA31" s="11">
        <f>V31*Parameters!C39</f>
        <v>0</v>
      </c>
      <c r="AB31" s="11">
        <f>V31*Parameters!D39</f>
        <v>0.30328200000000005</v>
      </c>
      <c r="AC31" s="60">
        <f>V31-AUM!O31</f>
        <v>0.30328200000000005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633F-1E1F-334D-A6BE-41F16AF19276}">
  <dimension ref="A1:O33"/>
  <sheetViews>
    <sheetView topLeftCell="A17" workbookViewId="0">
      <selection activeCell="K34" sqref="K34"/>
    </sheetView>
  </sheetViews>
  <sheetFormatPr defaultColWidth="10.69140625" defaultRowHeight="17.5" x14ac:dyDescent="0.45"/>
  <cols>
    <col min="1" max="4" width="10.69140625" style="2"/>
    <col min="5" max="5" width="10.69140625" style="17"/>
    <col min="6" max="8" width="10.69140625" style="2"/>
    <col min="9" max="9" width="18.53515625" style="2" customWidth="1"/>
    <col min="10" max="10" width="10.69140625" style="2"/>
    <col min="11" max="11" width="18.53515625" style="2" customWidth="1"/>
    <col min="12" max="13" width="10.69140625" style="2"/>
    <col min="14" max="14" width="13.84375" style="2" customWidth="1"/>
    <col min="15" max="16384" width="10.69140625" style="2"/>
  </cols>
  <sheetData>
    <row r="1" spans="1:15" s="3" customFormat="1" ht="93" x14ac:dyDescent="0.45">
      <c r="A1" s="3" t="s">
        <v>0</v>
      </c>
      <c r="B1" s="3" t="s">
        <v>18</v>
      </c>
      <c r="C1" s="3" t="s">
        <v>20</v>
      </c>
      <c r="D1" s="3" t="s">
        <v>19</v>
      </c>
      <c r="E1" s="14" t="s">
        <v>21</v>
      </c>
      <c r="F1" s="3" t="s">
        <v>22</v>
      </c>
      <c r="G1" s="3" t="s">
        <v>24</v>
      </c>
      <c r="H1" s="3" t="s">
        <v>23</v>
      </c>
      <c r="I1" s="3" t="s">
        <v>71</v>
      </c>
      <c r="J1" s="3" t="s">
        <v>72</v>
      </c>
      <c r="K1" s="3" t="s">
        <v>73</v>
      </c>
      <c r="L1" s="13" t="s">
        <v>74</v>
      </c>
      <c r="M1" s="3" t="s">
        <v>75</v>
      </c>
      <c r="N1" s="3" t="s">
        <v>129</v>
      </c>
      <c r="O1" s="3" t="s">
        <v>130</v>
      </c>
    </row>
    <row r="2" spans="1:15" s="6" customFormat="1" x14ac:dyDescent="0.45">
      <c r="A2" s="12" t="s">
        <v>10</v>
      </c>
      <c r="B2" s="6" t="s">
        <v>26</v>
      </c>
      <c r="C2" s="6">
        <v>12</v>
      </c>
      <c r="D2" s="18">
        <f>Parameters!F10</f>
        <v>0.03</v>
      </c>
      <c r="E2" s="15">
        <f>C2*D2/(C2*D2+Parameters!E10)</f>
        <v>0.50704225352112675</v>
      </c>
      <c r="F2" s="6" t="s">
        <v>35</v>
      </c>
      <c r="G2" s="11">
        <f>'GMV(Layer)'!AA2</f>
        <v>4.0521885521885535E-3</v>
      </c>
      <c r="H2" s="11">
        <f>'GMV(Layer)'!AB2</f>
        <v>6.0782828282828303E-3</v>
      </c>
      <c r="I2" s="35">
        <f>G2/(C2*D2+Parameters!E10)</f>
        <v>5.7073078199838785E-3</v>
      </c>
      <c r="J2" s="6">
        <v>0</v>
      </c>
      <c r="K2" s="11">
        <f>I2*1000</f>
        <v>5.7073078199838783</v>
      </c>
      <c r="L2" s="11">
        <f>G2*1000</f>
        <v>4.0521885521885537</v>
      </c>
      <c r="M2" s="11">
        <f>H2*1000</f>
        <v>6.0782828282828305</v>
      </c>
      <c r="N2" s="59">
        <f>C2*D2*I2</f>
        <v>2.054630815194196E-3</v>
      </c>
      <c r="O2" s="59">
        <f>N2/12</f>
        <v>1.7121923459951634E-4</v>
      </c>
    </row>
    <row r="3" spans="1:15" x14ac:dyDescent="0.45">
      <c r="B3" s="2" t="s">
        <v>28</v>
      </c>
      <c r="C3" s="2">
        <v>26</v>
      </c>
      <c r="D3" s="19">
        <f>Parameters!F11</f>
        <v>0.03</v>
      </c>
      <c r="E3" s="16">
        <f>C3*D3/(C3*D3+Parameters!E11)</f>
        <v>0.69026548672566379</v>
      </c>
      <c r="F3" s="2" t="s">
        <v>35</v>
      </c>
      <c r="G3" s="9">
        <f>'GMV(Layer)'!AA3</f>
        <v>8.1043771043771071E-3</v>
      </c>
      <c r="H3" s="9">
        <f>'GMV(Layer)'!AB3</f>
        <v>1.2156565656565661E-2</v>
      </c>
      <c r="I3" s="35">
        <f>G3/(C3*D3+Parameters!E11)</f>
        <v>7.17201513661691E-3</v>
      </c>
      <c r="J3" s="2">
        <v>0</v>
      </c>
      <c r="K3" s="9">
        <f t="shared" ref="K3:K31" si="0">I3*1000</f>
        <v>7.1720151366169098</v>
      </c>
      <c r="L3" s="9">
        <f t="shared" ref="L3:L31" si="1">G3*1000</f>
        <v>8.1043771043771073</v>
      </c>
      <c r="M3" s="9">
        <f t="shared" ref="M3:M31" si="2">H3*1000</f>
        <v>12.156565656565661</v>
      </c>
      <c r="N3" s="59">
        <f t="shared" ref="N3:N29" si="3">C3*D3*I3</f>
        <v>5.5941718065611896E-3</v>
      </c>
      <c r="O3" s="59">
        <f t="shared" ref="O3:O31" si="4">N3/12</f>
        <v>4.6618098388009915E-4</v>
      </c>
    </row>
    <row r="4" spans="1:15" x14ac:dyDescent="0.45">
      <c r="B4" s="2" t="s">
        <v>30</v>
      </c>
      <c r="C4" s="2">
        <v>26</v>
      </c>
      <c r="D4" s="19">
        <f>Parameters!F12</f>
        <v>0.7</v>
      </c>
      <c r="E4" s="16">
        <f>C4*D4/(C4*D4+Parameters!E12)</f>
        <v>0.98113207547169801</v>
      </c>
      <c r="F4" s="2" t="s">
        <v>35</v>
      </c>
      <c r="G4" s="9">
        <f>'GMV(Layer)'!AA4</f>
        <v>0</v>
      </c>
      <c r="H4" s="9">
        <f>'GMV(Layer)'!AB4</f>
        <v>0</v>
      </c>
      <c r="I4" s="35">
        <f>G4/(C4*D4+Parameters!E12)</f>
        <v>0</v>
      </c>
      <c r="J4" s="2">
        <v>0</v>
      </c>
      <c r="K4" s="9">
        <f t="shared" si="0"/>
        <v>0</v>
      </c>
      <c r="L4" s="9">
        <f t="shared" si="1"/>
        <v>0</v>
      </c>
      <c r="M4" s="9">
        <f t="shared" si="2"/>
        <v>0</v>
      </c>
      <c r="N4" s="59">
        <f t="shared" si="3"/>
        <v>0</v>
      </c>
      <c r="O4" s="59">
        <f t="shared" si="4"/>
        <v>0</v>
      </c>
    </row>
    <row r="5" spans="1:15" x14ac:dyDescent="0.45">
      <c r="B5" s="2" t="s">
        <v>32</v>
      </c>
      <c r="C5" s="2" t="s">
        <v>35</v>
      </c>
      <c r="D5" s="19" t="str">
        <f>Parameters!F13</f>
        <v>-</v>
      </c>
      <c r="E5" s="16" t="s">
        <v>35</v>
      </c>
      <c r="F5" s="2">
        <v>2</v>
      </c>
      <c r="G5" s="9">
        <f>'GMV(Layer)'!AA5</f>
        <v>0</v>
      </c>
      <c r="H5" s="9">
        <f>'GMV(Layer)'!AB5</f>
        <v>7.0913299663299678E-2</v>
      </c>
      <c r="I5" s="36">
        <f>H5*(F5/365)</f>
        <v>3.8856602555232698E-4</v>
      </c>
      <c r="J5" s="2">
        <v>0</v>
      </c>
      <c r="K5" s="9">
        <f t="shared" si="0"/>
        <v>0.388566025552327</v>
      </c>
      <c r="L5" s="9">
        <f t="shared" si="1"/>
        <v>0</v>
      </c>
      <c r="M5" s="9">
        <f t="shared" si="2"/>
        <v>70.913299663299682</v>
      </c>
      <c r="N5" s="59">
        <v>0</v>
      </c>
      <c r="O5" s="59">
        <f t="shared" si="4"/>
        <v>0</v>
      </c>
    </row>
    <row r="6" spans="1:15" x14ac:dyDescent="0.45">
      <c r="B6" s="2" t="s">
        <v>34</v>
      </c>
      <c r="C6" s="2" t="s">
        <v>35</v>
      </c>
      <c r="D6" s="19" t="str">
        <f>Parameters!F14</f>
        <v>-</v>
      </c>
      <c r="E6" s="16" t="s">
        <v>35</v>
      </c>
      <c r="F6" s="2">
        <v>2</v>
      </c>
      <c r="G6" s="9">
        <f>'GMV(Layer)'!AA6</f>
        <v>0</v>
      </c>
      <c r="H6" s="9">
        <f>'GMV(Layer)'!AB6</f>
        <v>0.10130471380471383</v>
      </c>
      <c r="I6" s="36">
        <f>H6*(F6/365)</f>
        <v>5.5509432221761002E-4</v>
      </c>
      <c r="J6" s="2">
        <v>0</v>
      </c>
      <c r="K6" s="9">
        <f t="shared" si="0"/>
        <v>0.55509432221761001</v>
      </c>
      <c r="L6" s="9">
        <f t="shared" si="1"/>
        <v>0</v>
      </c>
      <c r="M6" s="9">
        <f t="shared" si="2"/>
        <v>101.30471380471383</v>
      </c>
      <c r="N6" s="59">
        <v>0</v>
      </c>
      <c r="O6" s="59">
        <f t="shared" si="4"/>
        <v>0</v>
      </c>
    </row>
    <row r="7" spans="1:15" s="6" customFormat="1" x14ac:dyDescent="0.45">
      <c r="A7" s="6" t="s">
        <v>11</v>
      </c>
      <c r="B7" s="6" t="s">
        <v>26</v>
      </c>
      <c r="C7" s="6">
        <v>12</v>
      </c>
      <c r="D7" s="18">
        <f>Parameters!F15</f>
        <v>0.03</v>
      </c>
      <c r="E7" s="15">
        <f>C7*D7/(C7*D7+Parameters!E15)</f>
        <v>0.50704225352112675</v>
      </c>
      <c r="F7" s="6" t="s">
        <v>35</v>
      </c>
      <c r="G7" s="11">
        <f>'GMV(Layer)'!AA7</f>
        <v>3.2417508417508428E-2</v>
      </c>
      <c r="H7" s="11">
        <f>'GMV(Layer)'!AB7</f>
        <v>4.8626262626262642E-2</v>
      </c>
      <c r="I7" s="35">
        <f>G7/(C7*D7+Parameters!E15)</f>
        <v>4.5658462559871028E-2</v>
      </c>
      <c r="J7" s="6">
        <f>'GMV(Total)'!J3/'GMV(Total)'!J7</f>
        <v>7.2446377594601888E-2</v>
      </c>
      <c r="K7" s="11">
        <f t="shared" si="0"/>
        <v>45.658462559871026</v>
      </c>
      <c r="L7" s="11">
        <f t="shared" si="1"/>
        <v>32.417508417508429</v>
      </c>
      <c r="M7" s="11">
        <f t="shared" si="2"/>
        <v>48.626262626262644</v>
      </c>
      <c r="N7" s="59">
        <f t="shared" si="3"/>
        <v>1.6437046521553568E-2</v>
      </c>
      <c r="O7" s="59">
        <f t="shared" si="4"/>
        <v>1.3697538767961307E-3</v>
      </c>
    </row>
    <row r="8" spans="1:15" x14ac:dyDescent="0.45">
      <c r="B8" s="2" t="s">
        <v>28</v>
      </c>
      <c r="C8" s="2">
        <v>26</v>
      </c>
      <c r="D8" s="19">
        <f>Parameters!F16</f>
        <v>0.03</v>
      </c>
      <c r="E8" s="16">
        <f>C8*D8/(C8*D8+Parameters!E16)</f>
        <v>0.69026548672566379</v>
      </c>
      <c r="F8" s="2" t="s">
        <v>35</v>
      </c>
      <c r="G8" s="9">
        <f>'GMV(Layer)'!AA8</f>
        <v>4.0521885521885535E-2</v>
      </c>
      <c r="H8" s="9">
        <f>'GMV(Layer)'!AB8</f>
        <v>6.0782828282828293E-2</v>
      </c>
      <c r="I8" s="36">
        <f>G8/(C8*D8+Parameters!E16)</f>
        <v>3.5860075683084545E-2</v>
      </c>
      <c r="J8" s="2">
        <f>'GMV(Total)'!J3/'GMV(Total)'!J7</f>
        <v>7.2446377594601888E-2</v>
      </c>
      <c r="K8" s="9">
        <f t="shared" si="0"/>
        <v>35.860075683084546</v>
      </c>
      <c r="L8" s="9">
        <f t="shared" si="1"/>
        <v>40.521885521885537</v>
      </c>
      <c r="M8" s="9">
        <f t="shared" si="2"/>
        <v>60.782828282828291</v>
      </c>
      <c r="N8" s="59">
        <f t="shared" si="3"/>
        <v>2.7970859032805946E-2</v>
      </c>
      <c r="O8" s="59">
        <f t="shared" si="4"/>
        <v>2.3309049194004954E-3</v>
      </c>
    </row>
    <row r="9" spans="1:15" x14ac:dyDescent="0.45">
      <c r="B9" s="2" t="s">
        <v>30</v>
      </c>
      <c r="C9" s="2">
        <v>26</v>
      </c>
      <c r="D9" s="19">
        <f>Parameters!F17</f>
        <v>0.7</v>
      </c>
      <c r="E9" s="16">
        <f>C9*D9/(C9*D9+Parameters!E17)</f>
        <v>0.98113207547169801</v>
      </c>
      <c r="F9" s="2" t="s">
        <v>35</v>
      </c>
      <c r="G9" s="9">
        <f>'GMV(Layer)'!AA9</f>
        <v>8.1043771043771071E-3</v>
      </c>
      <c r="H9" s="9">
        <f>'GMV(Layer)'!AB9</f>
        <v>1.2156565656565661E-2</v>
      </c>
      <c r="I9" s="36">
        <f>G9/(C9*D9+Parameters!E17)</f>
        <v>4.368936444408144E-4</v>
      </c>
      <c r="J9" s="2">
        <f>'GMV(Total)'!J3/'GMV(Total)'!J7</f>
        <v>7.2446377594601888E-2</v>
      </c>
      <c r="K9" s="9">
        <f t="shared" si="0"/>
        <v>0.43689364444081441</v>
      </c>
      <c r="L9" s="9">
        <f t="shared" si="1"/>
        <v>8.1043771043771073</v>
      </c>
      <c r="M9" s="9">
        <f t="shared" si="2"/>
        <v>12.156565656565661</v>
      </c>
      <c r="N9" s="59">
        <f t="shared" si="3"/>
        <v>7.9514643288228215E-3</v>
      </c>
      <c r="O9" s="59">
        <f t="shared" si="4"/>
        <v>6.6262202740190179E-4</v>
      </c>
    </row>
    <row r="10" spans="1:15" x14ac:dyDescent="0.45">
      <c r="B10" s="2" t="s">
        <v>32</v>
      </c>
      <c r="C10" s="2" t="s">
        <v>35</v>
      </c>
      <c r="D10" s="19" t="str">
        <f>Parameters!F18</f>
        <v>-</v>
      </c>
      <c r="E10" s="16" t="s">
        <v>35</v>
      </c>
      <c r="F10" s="2">
        <v>2</v>
      </c>
      <c r="G10" s="9">
        <f>'GMV(Layer)'!AA10</f>
        <v>0</v>
      </c>
      <c r="H10" s="9">
        <f>'GMV(Layer)'!AB10</f>
        <v>0.10130471380471383</v>
      </c>
      <c r="I10" s="36">
        <f>H10*(F10/365)</f>
        <v>5.5509432221761002E-4</v>
      </c>
      <c r="J10" s="2">
        <f>'GMV(Total)'!J3/'GMV(Total)'!J7</f>
        <v>7.2446377594601888E-2</v>
      </c>
      <c r="K10" s="9">
        <f t="shared" si="0"/>
        <v>0.55509432221761001</v>
      </c>
      <c r="L10" s="9">
        <f t="shared" si="1"/>
        <v>0</v>
      </c>
      <c r="M10" s="9">
        <f t="shared" si="2"/>
        <v>101.30471380471383</v>
      </c>
      <c r="N10" s="59">
        <v>0</v>
      </c>
      <c r="O10" s="59">
        <f t="shared" si="4"/>
        <v>0</v>
      </c>
    </row>
    <row r="11" spans="1:15" x14ac:dyDescent="0.45">
      <c r="B11" s="2" t="s">
        <v>34</v>
      </c>
      <c r="C11" s="2">
        <v>0</v>
      </c>
      <c r="D11" s="19" t="str">
        <f>Parameters!F19</f>
        <v>-</v>
      </c>
      <c r="E11" s="16" t="s">
        <v>35</v>
      </c>
      <c r="F11" s="2">
        <v>2</v>
      </c>
      <c r="G11" s="9">
        <f>'GMV(Layer)'!AA11</f>
        <v>0</v>
      </c>
      <c r="H11" s="9">
        <f>'GMV(Layer)'!AB11</f>
        <v>0.10130471380471383</v>
      </c>
      <c r="I11" s="36">
        <f>H11*(F11/365)</f>
        <v>5.5509432221761002E-4</v>
      </c>
      <c r="J11" s="2">
        <f>'GMV(Total)'!J3/'GMV(Total)'!J7</f>
        <v>7.2446377594601888E-2</v>
      </c>
      <c r="K11" s="9">
        <f t="shared" si="0"/>
        <v>0.55509432221761001</v>
      </c>
      <c r="L11" s="9">
        <f t="shared" si="1"/>
        <v>0</v>
      </c>
      <c r="M11" s="9">
        <f t="shared" si="2"/>
        <v>101.30471380471383</v>
      </c>
      <c r="N11" s="59">
        <v>0</v>
      </c>
      <c r="O11" s="59">
        <f t="shared" si="4"/>
        <v>0</v>
      </c>
    </row>
    <row r="12" spans="1:15" s="6" customFormat="1" x14ac:dyDescent="0.45">
      <c r="A12" s="6" t="s">
        <v>12</v>
      </c>
      <c r="B12" s="6" t="s">
        <v>26</v>
      </c>
      <c r="C12" s="6">
        <v>12</v>
      </c>
      <c r="D12" s="18">
        <f>Parameters!F20</f>
        <v>3.5999999999999997E-2</v>
      </c>
      <c r="E12" s="15">
        <f>C12*D12/(C12*D12+Parameters!E20)</f>
        <v>0.52237001209189837</v>
      </c>
      <c r="F12" s="6" t="s">
        <v>35</v>
      </c>
      <c r="G12" s="11">
        <f>'GMV(Layer)'!AA12</f>
        <v>0.13853622222222226</v>
      </c>
      <c r="H12" s="11">
        <f>'GMV(Layer)'!AB12</f>
        <v>0.23588600000000007</v>
      </c>
      <c r="I12" s="35">
        <f>G12/(C12*D12+Parameters!E20)</f>
        <v>0.16751659277173186</v>
      </c>
      <c r="J12" s="6">
        <f>'GMV(Total)'!J4/'GMV(Total)'!J7</f>
        <v>0.18611811393689115</v>
      </c>
      <c r="K12" s="11">
        <f t="shared" si="0"/>
        <v>167.51659277173187</v>
      </c>
      <c r="L12" s="11">
        <f t="shared" si="1"/>
        <v>138.53622222222225</v>
      </c>
      <c r="M12" s="11">
        <f t="shared" si="2"/>
        <v>235.88600000000008</v>
      </c>
      <c r="N12" s="59">
        <f t="shared" si="3"/>
        <v>7.2367168077388161E-2</v>
      </c>
      <c r="O12" s="59">
        <f t="shared" si="4"/>
        <v>6.0305973397823467E-3</v>
      </c>
    </row>
    <row r="13" spans="1:15" x14ac:dyDescent="0.45">
      <c r="B13" s="2" t="s">
        <v>28</v>
      </c>
      <c r="C13" s="2">
        <v>26</v>
      </c>
      <c r="D13" s="19">
        <f>Parameters!F21</f>
        <v>3.5999999999999997E-2</v>
      </c>
      <c r="E13" s="16">
        <f>C13*D13/(C13*D13+Parameters!E21)</f>
        <v>0.70323065364387671</v>
      </c>
      <c r="F13" s="2" t="s">
        <v>35</v>
      </c>
      <c r="G13" s="9">
        <f>'GMV(Layer)'!AA13</f>
        <v>0.13853622222222226</v>
      </c>
      <c r="H13" s="9">
        <f>'GMV(Layer)'!AB13</f>
        <v>0.23588600000000007</v>
      </c>
      <c r="I13" s="36">
        <f>G13/(C13*D13+Parameters!E21)</f>
        <v>0.10408431421654565</v>
      </c>
      <c r="J13" s="2">
        <f>'GMV(Total)'!J4/'GMV(Total)'!J7</f>
        <v>0.18611811393689115</v>
      </c>
      <c r="K13" s="9">
        <f t="shared" si="0"/>
        <v>104.08431421654565</v>
      </c>
      <c r="L13" s="9">
        <f t="shared" si="1"/>
        <v>138.53622222222225</v>
      </c>
      <c r="M13" s="9">
        <f t="shared" si="2"/>
        <v>235.88600000000008</v>
      </c>
      <c r="N13" s="59">
        <f t="shared" si="3"/>
        <v>9.7422918106686726E-2</v>
      </c>
      <c r="O13" s="59">
        <f t="shared" si="4"/>
        <v>8.1185765088905605E-3</v>
      </c>
    </row>
    <row r="14" spans="1:15" x14ac:dyDescent="0.45">
      <c r="B14" s="2" t="s">
        <v>30</v>
      </c>
      <c r="C14" s="2">
        <v>26</v>
      </c>
      <c r="D14" s="19">
        <f>Parameters!F22</f>
        <v>0.7</v>
      </c>
      <c r="E14" s="16">
        <f>C14*D14/(C14*D14+Parameters!E22)</f>
        <v>0.97875773057273463</v>
      </c>
      <c r="F14" s="2" t="s">
        <v>35</v>
      </c>
      <c r="G14" s="9">
        <f>'GMV(Layer)'!AA14</f>
        <v>3.9581777777777792E-2</v>
      </c>
      <c r="H14" s="9">
        <f>'GMV(Layer)'!AB14</f>
        <v>6.7396000000000011E-2</v>
      </c>
      <c r="I14" s="36">
        <f>G14/(C14*D14+Parameters!E22)</f>
        <v>2.1286247796600049E-3</v>
      </c>
      <c r="J14" s="2">
        <f>'GMV(Total)'!J4/'GMV(Total)'!J7</f>
        <v>0.18611811393689115</v>
      </c>
      <c r="K14" s="9">
        <f t="shared" si="0"/>
        <v>2.1286247796600049</v>
      </c>
      <c r="L14" s="9">
        <f t="shared" si="1"/>
        <v>39.581777777777795</v>
      </c>
      <c r="M14" s="9">
        <f t="shared" si="2"/>
        <v>67.396000000000015</v>
      </c>
      <c r="N14" s="59">
        <f t="shared" si="3"/>
        <v>3.8740970989812086E-2</v>
      </c>
      <c r="O14" s="59">
        <f t="shared" si="4"/>
        <v>3.2284142491510073E-3</v>
      </c>
    </row>
    <row r="15" spans="1:15" x14ac:dyDescent="0.45">
      <c r="B15" s="2" t="s">
        <v>32</v>
      </c>
      <c r="C15" s="2" t="s">
        <v>35</v>
      </c>
      <c r="D15" s="19" t="str">
        <f>Parameters!F23</f>
        <v>-</v>
      </c>
      <c r="E15" s="16" t="s">
        <v>35</v>
      </c>
      <c r="F15" s="2">
        <v>2</v>
      </c>
      <c r="G15" s="9">
        <f>'GMV(Layer)'!AA15</f>
        <v>0</v>
      </c>
      <c r="H15" s="9">
        <f>'GMV(Layer)'!AB15</f>
        <v>0.24070000000000005</v>
      </c>
      <c r="I15" s="36">
        <f>H15*(F15/365)</f>
        <v>1.3189041095890415E-3</v>
      </c>
      <c r="J15" s="2">
        <f>'GMV(Total)'!J4/'GMV(Total)'!J7</f>
        <v>0.18611811393689115</v>
      </c>
      <c r="K15" s="9">
        <f t="shared" si="0"/>
        <v>1.3189041095890415</v>
      </c>
      <c r="L15" s="9">
        <f t="shared" si="1"/>
        <v>0</v>
      </c>
      <c r="M15" s="9">
        <f t="shared" si="2"/>
        <v>240.70000000000005</v>
      </c>
      <c r="N15" s="59">
        <v>0</v>
      </c>
      <c r="O15" s="59">
        <f t="shared" si="4"/>
        <v>0</v>
      </c>
    </row>
    <row r="16" spans="1:15" x14ac:dyDescent="0.45">
      <c r="B16" s="2" t="s">
        <v>34</v>
      </c>
      <c r="C16" s="2" t="s">
        <v>35</v>
      </c>
      <c r="D16" s="19" t="str">
        <f>Parameters!F24</f>
        <v>-</v>
      </c>
      <c r="E16" s="16" t="s">
        <v>35</v>
      </c>
      <c r="F16" s="2">
        <v>2</v>
      </c>
      <c r="G16" s="9">
        <f>'GMV(Layer)'!AA16</f>
        <v>0</v>
      </c>
      <c r="H16" s="9">
        <f>'GMV(Layer)'!AB16</f>
        <v>0.24070000000000005</v>
      </c>
      <c r="I16" s="36">
        <f>H16*(F16/365)</f>
        <v>1.3189041095890415E-3</v>
      </c>
      <c r="J16" s="2">
        <f>'GMV(Total)'!J4/'GMV(Total)'!J7</f>
        <v>0.18611811393689115</v>
      </c>
      <c r="K16" s="9">
        <f t="shared" si="0"/>
        <v>1.3189041095890415</v>
      </c>
      <c r="L16" s="9">
        <f t="shared" si="1"/>
        <v>0</v>
      </c>
      <c r="M16" s="9">
        <f t="shared" si="2"/>
        <v>240.70000000000005</v>
      </c>
      <c r="N16" s="59">
        <v>0</v>
      </c>
      <c r="O16" s="59">
        <f t="shared" si="4"/>
        <v>0</v>
      </c>
    </row>
    <row r="17" spans="1:15" s="6" customFormat="1" x14ac:dyDescent="0.45">
      <c r="A17" s="6" t="s">
        <v>13</v>
      </c>
      <c r="B17" s="6" t="s">
        <v>26</v>
      </c>
      <c r="C17" s="6">
        <v>12</v>
      </c>
      <c r="D17" s="18">
        <f>Parameters!F25</f>
        <v>3.8999999999999993E-2</v>
      </c>
      <c r="E17" s="15">
        <f>C17*D17/(C17*D17+Parameters!E25)</f>
        <v>0.54072790294627382</v>
      </c>
      <c r="F17" s="6" t="s">
        <v>35</v>
      </c>
      <c r="G17" s="11">
        <f>'GMV(Layer)'!AA17</f>
        <v>0.28234110000000007</v>
      </c>
      <c r="H17" s="11">
        <f>'GMV(Layer)'!AB17</f>
        <v>0.53603890000000021</v>
      </c>
      <c r="I17" s="35">
        <f>G17/(C17*D17+Parameters!E25)</f>
        <v>0.32621733102253048</v>
      </c>
      <c r="J17" s="6">
        <f>'GMV(Total)'!J5/'GMV(Total)'!J7</f>
        <v>0.45360921162651452</v>
      </c>
      <c r="K17" s="11">
        <f t="shared" si="0"/>
        <v>326.21733102253046</v>
      </c>
      <c r="L17" s="11">
        <f t="shared" si="1"/>
        <v>282.34110000000004</v>
      </c>
      <c r="M17" s="11">
        <f t="shared" si="2"/>
        <v>536.03890000000024</v>
      </c>
      <c r="N17" s="59">
        <f t="shared" si="3"/>
        <v>0.15266971091854423</v>
      </c>
      <c r="O17" s="59">
        <f t="shared" si="4"/>
        <v>1.2722475909878685E-2</v>
      </c>
    </row>
    <row r="18" spans="1:15" x14ac:dyDescent="0.45">
      <c r="B18" s="2" t="s">
        <v>28</v>
      </c>
      <c r="C18" s="2">
        <v>26</v>
      </c>
      <c r="D18" s="19">
        <f>Parameters!F26</f>
        <v>3.9000000000000007E-2</v>
      </c>
      <c r="E18" s="16">
        <f>C18*D18/(C18*D18+Parameters!E26)</f>
        <v>0.71838469713071207</v>
      </c>
      <c r="F18" s="2" t="s">
        <v>35</v>
      </c>
      <c r="G18" s="9">
        <f>'GMV(Layer)'!AA18</f>
        <v>0.23251620000000009</v>
      </c>
      <c r="H18" s="9">
        <f>'GMV(Layer)'!AB18</f>
        <v>0.44144380000000016</v>
      </c>
      <c r="I18" s="36">
        <f>G18/(C18*D18+Parameters!E26)</f>
        <v>0.16472986184909674</v>
      </c>
      <c r="J18" s="2">
        <f>'GMV(Total)'!J5/'GMV(Total)'!J7</f>
        <v>0.45360921162651452</v>
      </c>
      <c r="K18" s="9">
        <f t="shared" si="0"/>
        <v>164.72986184909675</v>
      </c>
      <c r="L18" s="9">
        <f t="shared" si="1"/>
        <v>232.51620000000008</v>
      </c>
      <c r="M18" s="9">
        <f t="shared" si="2"/>
        <v>441.44380000000018</v>
      </c>
      <c r="N18" s="59">
        <f t="shared" si="3"/>
        <v>0.16703607991498415</v>
      </c>
      <c r="O18" s="59">
        <f t="shared" si="4"/>
        <v>1.391967332624868E-2</v>
      </c>
    </row>
    <row r="19" spans="1:15" x14ac:dyDescent="0.45">
      <c r="B19" s="2" t="s">
        <v>30</v>
      </c>
      <c r="C19" s="2">
        <v>26</v>
      </c>
      <c r="D19" s="19">
        <f>Parameters!F27</f>
        <v>0.7</v>
      </c>
      <c r="E19" s="16">
        <f>C19*D19/(C19*D19+Parameters!E27)</f>
        <v>0.97862615943003084</v>
      </c>
      <c r="F19" s="2" t="s">
        <v>35</v>
      </c>
      <c r="G19" s="9">
        <f>'GMV(Layer)'!AA19</f>
        <v>8.3041500000000032E-2</v>
      </c>
      <c r="H19" s="9">
        <f>'GMV(Layer)'!AB19</f>
        <v>0.15765850000000003</v>
      </c>
      <c r="I19" s="36">
        <f>G19/(C19*D19+Parameters!E27)</f>
        <v>4.4651969350719203E-3</v>
      </c>
      <c r="J19" s="2">
        <f>'GMV(Total)'!J5/'GMV(Total)'!J7</f>
        <v>0.45360921162651452</v>
      </c>
      <c r="K19" s="9">
        <f t="shared" si="0"/>
        <v>4.4651969350719201</v>
      </c>
      <c r="L19" s="9">
        <f t="shared" si="1"/>
        <v>83.041500000000028</v>
      </c>
      <c r="M19" s="9">
        <f t="shared" si="2"/>
        <v>157.65850000000003</v>
      </c>
      <c r="N19" s="59">
        <f t="shared" si="3"/>
        <v>8.1266584218308943E-2</v>
      </c>
      <c r="O19" s="59">
        <f t="shared" si="4"/>
        <v>6.772215351525745E-3</v>
      </c>
    </row>
    <row r="20" spans="1:15" x14ac:dyDescent="0.45">
      <c r="B20" s="2" t="s">
        <v>32</v>
      </c>
      <c r="C20" s="2" t="s">
        <v>35</v>
      </c>
      <c r="D20" s="19" t="str">
        <f>Parameters!F28</f>
        <v>-</v>
      </c>
      <c r="E20" s="16" t="s">
        <v>35</v>
      </c>
      <c r="F20" s="2">
        <v>2</v>
      </c>
      <c r="G20" s="9">
        <f>'GMV(Layer)'!AA20</f>
        <v>0</v>
      </c>
      <c r="H20" s="9">
        <f>'GMV(Layer)'!AB20</f>
        <v>0.33698000000000011</v>
      </c>
      <c r="I20" s="36">
        <f>H20*(F20/365)</f>
        <v>1.8464657534246582E-3</v>
      </c>
      <c r="J20" s="2">
        <f>'GMV(Total)'!J5/'GMV(Total)'!J7</f>
        <v>0.45360921162651452</v>
      </c>
      <c r="K20" s="9">
        <f t="shared" si="0"/>
        <v>1.8464657534246582</v>
      </c>
      <c r="L20" s="9">
        <f t="shared" si="1"/>
        <v>0</v>
      </c>
      <c r="M20" s="9">
        <f t="shared" si="2"/>
        <v>336.98000000000013</v>
      </c>
      <c r="N20" s="59">
        <v>0</v>
      </c>
      <c r="O20" s="59">
        <f t="shared" si="4"/>
        <v>0</v>
      </c>
    </row>
    <row r="21" spans="1:15" x14ac:dyDescent="0.45">
      <c r="B21" s="2" t="s">
        <v>34</v>
      </c>
      <c r="C21" s="2" t="s">
        <v>35</v>
      </c>
      <c r="D21" s="19" t="str">
        <f>Parameters!F29</f>
        <v>-</v>
      </c>
      <c r="E21" s="16" t="s">
        <v>35</v>
      </c>
      <c r="F21" s="2">
        <v>2</v>
      </c>
      <c r="G21" s="9">
        <f>'GMV(Layer)'!AA21</f>
        <v>0</v>
      </c>
      <c r="H21" s="9">
        <f>'GMV(Layer)'!AB21</f>
        <v>0.33698000000000011</v>
      </c>
      <c r="I21" s="36">
        <f>H21*(F21/365)</f>
        <v>1.8464657534246582E-3</v>
      </c>
      <c r="J21" s="2">
        <f>'GMV(Total)'!J5/'GMV(Total)'!J7</f>
        <v>0.45360921162651452</v>
      </c>
      <c r="K21" s="9">
        <f t="shared" si="0"/>
        <v>1.8464657534246582</v>
      </c>
      <c r="L21" s="9">
        <f t="shared" si="1"/>
        <v>0</v>
      </c>
      <c r="M21" s="9">
        <f t="shared" si="2"/>
        <v>336.98000000000013</v>
      </c>
      <c r="N21" s="59">
        <v>0</v>
      </c>
      <c r="O21" s="59">
        <f t="shared" si="4"/>
        <v>0</v>
      </c>
    </row>
    <row r="22" spans="1:15" s="6" customFormat="1" x14ac:dyDescent="0.45">
      <c r="A22" s="6" t="s">
        <v>14</v>
      </c>
      <c r="B22" s="6" t="s">
        <v>26</v>
      </c>
      <c r="C22" s="6">
        <v>12</v>
      </c>
      <c r="D22" s="18">
        <f>Parameters!F30</f>
        <v>4.2000000000000003E-2</v>
      </c>
      <c r="E22" s="15">
        <f>C22*D22/(C22*D22+Parameters!E30)</f>
        <v>0.5575221238938054</v>
      </c>
      <c r="F22" s="6" t="s">
        <v>35</v>
      </c>
      <c r="G22" s="11">
        <f>'GMV(Layer)'!AA22</f>
        <v>0.46214400000000022</v>
      </c>
      <c r="H22" s="11">
        <f>'GMV(Layer)'!AB22</f>
        <v>0.98205600000000015</v>
      </c>
      <c r="I22" s="35">
        <f>G22/(C22*D22+Parameters!E30)</f>
        <v>0.51122123893805338</v>
      </c>
      <c r="J22" s="6">
        <f>'GMV(Total)'!J6/'GMV(Total)'!J7</f>
        <v>0.74535599249993001</v>
      </c>
      <c r="K22" s="11">
        <f t="shared" si="0"/>
        <v>511.22123893805338</v>
      </c>
      <c r="L22" s="11">
        <f t="shared" si="1"/>
        <v>462.14400000000023</v>
      </c>
      <c r="M22" s="11">
        <f t="shared" si="2"/>
        <v>982.05600000000015</v>
      </c>
      <c r="N22" s="59">
        <f t="shared" si="3"/>
        <v>0.25765550442477891</v>
      </c>
      <c r="O22" s="59">
        <f t="shared" si="4"/>
        <v>2.1471292035398243E-2</v>
      </c>
    </row>
    <row r="23" spans="1:15" x14ac:dyDescent="0.45">
      <c r="B23" s="2" t="s">
        <v>28</v>
      </c>
      <c r="C23" s="2">
        <v>26</v>
      </c>
      <c r="D23" s="19">
        <f>Parameters!F31</f>
        <v>4.2000000000000003E-2</v>
      </c>
      <c r="E23" s="16">
        <f>C23*D23/(C23*D23+Parameters!E31)</f>
        <v>0.73190348525469173</v>
      </c>
      <c r="F23" s="2" t="s">
        <v>35</v>
      </c>
      <c r="G23" s="9">
        <f>'GMV(Layer)'!AA23</f>
        <v>0.32350080000000014</v>
      </c>
      <c r="H23" s="9">
        <f>'GMV(Layer)'!AB23</f>
        <v>0.68743920000000003</v>
      </c>
      <c r="I23" s="36">
        <f>G23/(C23*D23+Parameters!E31)</f>
        <v>0.21682359249329769</v>
      </c>
      <c r="J23" s="2">
        <f>'GMV(Total)'!J6/'GMV(Total)'!J7</f>
        <v>0.74535599249993001</v>
      </c>
      <c r="K23" s="9">
        <f t="shared" si="0"/>
        <v>216.8235924932977</v>
      </c>
      <c r="L23" s="9">
        <f t="shared" si="1"/>
        <v>323.50080000000014</v>
      </c>
      <c r="M23" s="9">
        <f t="shared" si="2"/>
        <v>687.43920000000003</v>
      </c>
      <c r="N23" s="59">
        <f t="shared" si="3"/>
        <v>0.23677136300268109</v>
      </c>
      <c r="O23" s="59">
        <f t="shared" si="4"/>
        <v>1.9730946916890091E-2</v>
      </c>
    </row>
    <row r="24" spans="1:15" x14ac:dyDescent="0.45">
      <c r="B24" s="2" t="s">
        <v>30</v>
      </c>
      <c r="C24" s="2">
        <v>26</v>
      </c>
      <c r="D24" s="19">
        <f>Parameters!F32</f>
        <v>0.7</v>
      </c>
      <c r="E24" s="16">
        <f>C24*D24/(C24*D24+Parameters!E32)</f>
        <v>0.978494623655914</v>
      </c>
      <c r="F24" s="2" t="s">
        <v>35</v>
      </c>
      <c r="G24" s="9">
        <f>'GMV(Layer)'!AA24</f>
        <v>0.13864320000000005</v>
      </c>
      <c r="H24" s="9">
        <f>'GMV(Layer)'!AB24</f>
        <v>0.29461680000000001</v>
      </c>
      <c r="I24" s="36">
        <f>G24/(C24*D24+Parameters!E32)</f>
        <v>7.4539354838709711E-3</v>
      </c>
      <c r="J24" s="2">
        <f>'GMV(Total)'!J6/'GMV(Total)'!J7</f>
        <v>0.74535599249993001</v>
      </c>
      <c r="K24" s="9">
        <f t="shared" si="0"/>
        <v>7.4539354838709713</v>
      </c>
      <c r="L24" s="9">
        <f t="shared" si="1"/>
        <v>138.64320000000004</v>
      </c>
      <c r="M24" s="9">
        <f t="shared" si="2"/>
        <v>294.61680000000001</v>
      </c>
      <c r="N24" s="59">
        <f t="shared" si="3"/>
        <v>0.13566162580645166</v>
      </c>
      <c r="O24" s="59">
        <f t="shared" si="4"/>
        <v>1.1305135483870972E-2</v>
      </c>
    </row>
    <row r="25" spans="1:15" x14ac:dyDescent="0.45">
      <c r="B25" s="2" t="s">
        <v>32</v>
      </c>
      <c r="C25" s="2" t="s">
        <v>35</v>
      </c>
      <c r="D25" s="19" t="str">
        <f>Parameters!F33</f>
        <v>-</v>
      </c>
      <c r="E25" s="16" t="s">
        <v>35</v>
      </c>
      <c r="F25" s="2">
        <v>2</v>
      </c>
      <c r="G25" s="9">
        <f>'GMV(Layer)'!AA25</f>
        <v>0</v>
      </c>
      <c r="H25" s="9">
        <f>'GMV(Layer)'!AB25</f>
        <v>0.36105000000000009</v>
      </c>
      <c r="I25" s="36">
        <f>H25*(F25/365)</f>
        <v>1.978356164383562E-3</v>
      </c>
      <c r="J25" s="2">
        <f>'GMV(Total)'!J6/'GMV(Total)'!J7</f>
        <v>0.74535599249993001</v>
      </c>
      <c r="K25" s="9">
        <f t="shared" si="0"/>
        <v>1.9783561643835621</v>
      </c>
      <c r="L25" s="9">
        <f t="shared" si="1"/>
        <v>0</v>
      </c>
      <c r="M25" s="9">
        <f t="shared" si="2"/>
        <v>361.05000000000007</v>
      </c>
      <c r="N25" s="59">
        <v>0</v>
      </c>
      <c r="O25" s="59">
        <f t="shared" si="4"/>
        <v>0</v>
      </c>
    </row>
    <row r="26" spans="1:15" x14ac:dyDescent="0.45">
      <c r="B26" s="2" t="s">
        <v>34</v>
      </c>
      <c r="C26" s="2" t="s">
        <v>35</v>
      </c>
      <c r="D26" s="19" t="str">
        <f>Parameters!F34</f>
        <v>-</v>
      </c>
      <c r="E26" s="16" t="s">
        <v>35</v>
      </c>
      <c r="F26" s="2">
        <v>2</v>
      </c>
      <c r="G26" s="9">
        <f>'GMV(Layer)'!AA26</f>
        <v>0</v>
      </c>
      <c r="H26" s="9">
        <f>'GMV(Layer)'!AB26</f>
        <v>0.36105000000000009</v>
      </c>
      <c r="I26" s="36">
        <f>H26*(F26/365)</f>
        <v>1.978356164383562E-3</v>
      </c>
      <c r="J26" s="2">
        <f>'GMV(Total)'!J6/'GMV(Total)'!J7</f>
        <v>0.74535599249993001</v>
      </c>
      <c r="K26" s="9">
        <f t="shared" si="0"/>
        <v>1.9783561643835621</v>
      </c>
      <c r="L26" s="9">
        <f t="shared" si="1"/>
        <v>0</v>
      </c>
      <c r="M26" s="9">
        <f t="shared" si="2"/>
        <v>361.05000000000007</v>
      </c>
      <c r="N26" s="59">
        <v>0</v>
      </c>
      <c r="O26" s="59">
        <f t="shared" si="4"/>
        <v>0</v>
      </c>
    </row>
    <row r="27" spans="1:15" s="6" customFormat="1" x14ac:dyDescent="0.45">
      <c r="A27" s="6" t="s">
        <v>15</v>
      </c>
      <c r="B27" s="8" t="s">
        <v>25</v>
      </c>
      <c r="C27" s="6">
        <v>12</v>
      </c>
      <c r="D27" s="18">
        <f>Parameters!F35</f>
        <v>4.0999999999999995E-2</v>
      </c>
      <c r="E27" s="15">
        <f>C27*D27/(C27*D27+Parameters!E35)</f>
        <v>0.56584243818286373</v>
      </c>
      <c r="F27" s="6" t="s">
        <v>35</v>
      </c>
      <c r="G27" s="10">
        <f>'GMV(Layer)'!AA27</f>
        <v>0.51666255000000005</v>
      </c>
      <c r="H27" s="11">
        <f>'GMV(Layer)'!AB27</f>
        <v>1.4330074500000001</v>
      </c>
      <c r="I27" s="35">
        <f>G27/(C27*D27+Parameters!E35)</f>
        <v>0.59420649798734915</v>
      </c>
      <c r="J27" s="6">
        <v>1</v>
      </c>
      <c r="K27" s="11">
        <f t="shared" si="0"/>
        <v>594.20649798734917</v>
      </c>
      <c r="L27" s="11">
        <f t="shared" si="1"/>
        <v>516.66255000000001</v>
      </c>
      <c r="M27" s="11">
        <f t="shared" si="2"/>
        <v>1433.0074500000001</v>
      </c>
      <c r="N27" s="59">
        <f t="shared" si="3"/>
        <v>0.29234959700977575</v>
      </c>
      <c r="O27" s="59">
        <f t="shared" si="4"/>
        <v>2.4362466417481313E-2</v>
      </c>
    </row>
    <row r="28" spans="1:15" x14ac:dyDescent="0.45">
      <c r="B28" s="5" t="s">
        <v>27</v>
      </c>
      <c r="C28" s="2">
        <v>26</v>
      </c>
      <c r="D28" s="19">
        <f>Parameters!F36</f>
        <v>4.2941176470588246E-2</v>
      </c>
      <c r="E28" s="16">
        <f>C28*D28/(C28*D28+Parameters!E36)</f>
        <v>0.73622963537626063</v>
      </c>
      <c r="F28" s="2" t="s">
        <v>35</v>
      </c>
      <c r="G28" s="4">
        <f>'GMV(Layer)'!AA28</f>
        <v>0.37821049411764718</v>
      </c>
      <c r="H28" s="9">
        <f>'GMV(Layer)'!AB28</f>
        <v>0.83491750588235303</v>
      </c>
      <c r="I28" s="36">
        <f>G28/(C28*D28+Parameters!E36)</f>
        <v>0.24940179984484098</v>
      </c>
      <c r="J28" s="2">
        <v>1</v>
      </c>
      <c r="K28" s="9">
        <f t="shared" si="0"/>
        <v>249.40179984484098</v>
      </c>
      <c r="L28" s="9">
        <f t="shared" si="1"/>
        <v>378.21049411764716</v>
      </c>
      <c r="M28" s="9">
        <f t="shared" si="2"/>
        <v>834.917505882353</v>
      </c>
      <c r="N28" s="59">
        <f t="shared" si="3"/>
        <v>0.27844977417971073</v>
      </c>
      <c r="O28" s="59">
        <f t="shared" si="4"/>
        <v>2.3204147848309226E-2</v>
      </c>
    </row>
    <row r="29" spans="1:15" x14ac:dyDescent="0.45">
      <c r="B29" s="5" t="s">
        <v>29</v>
      </c>
      <c r="C29" s="2">
        <v>26</v>
      </c>
      <c r="D29" s="19">
        <f>Parameters!F37</f>
        <v>0.7</v>
      </c>
      <c r="E29" s="16">
        <f>C29*D29/(C29*D29+Parameters!E37)</f>
        <v>0.978494623655914</v>
      </c>
      <c r="F29" s="2" t="s">
        <v>35</v>
      </c>
      <c r="G29" s="4">
        <f>'GMV(Layer)'!AA29</f>
        <v>0.16209021176470592</v>
      </c>
      <c r="H29" s="9">
        <f>'GMV(Layer)'!AB29</f>
        <v>0.35782178823529415</v>
      </c>
      <c r="I29" s="36">
        <f>G29/(C29*D29+Parameters!E37)</f>
        <v>8.7145275142315026E-3</v>
      </c>
      <c r="J29" s="2">
        <v>1</v>
      </c>
      <c r="K29" s="9">
        <f t="shared" si="0"/>
        <v>8.7145275142315022</v>
      </c>
      <c r="L29" s="9">
        <f t="shared" si="1"/>
        <v>162.09021176470591</v>
      </c>
      <c r="M29" s="9">
        <f t="shared" si="2"/>
        <v>357.82178823529415</v>
      </c>
      <c r="N29" s="59">
        <f t="shared" si="3"/>
        <v>0.15860440075901333</v>
      </c>
      <c r="O29" s="59">
        <f t="shared" si="4"/>
        <v>1.3217033396584444E-2</v>
      </c>
    </row>
    <row r="30" spans="1:15" x14ac:dyDescent="0.45">
      <c r="B30" s="5" t="s">
        <v>31</v>
      </c>
      <c r="C30" s="2" t="s">
        <v>35</v>
      </c>
      <c r="D30" s="19" t="str">
        <f>Parameters!F38</f>
        <v>-</v>
      </c>
      <c r="E30" s="16" t="s">
        <v>35</v>
      </c>
      <c r="F30" s="2">
        <v>1</v>
      </c>
      <c r="G30" s="4">
        <f>'GMV(Layer)'!AA30</f>
        <v>0</v>
      </c>
      <c r="H30" s="9">
        <f>'GMV(Layer)'!AB30</f>
        <v>0.34660800000000003</v>
      </c>
      <c r="I30" s="36">
        <f>H30*(F30/365)</f>
        <v>9.4961095890410969E-4</v>
      </c>
      <c r="J30" s="2">
        <v>1</v>
      </c>
      <c r="K30" s="9">
        <f t="shared" si="0"/>
        <v>0.94961095890410974</v>
      </c>
      <c r="L30" s="9">
        <f t="shared" si="1"/>
        <v>0</v>
      </c>
      <c r="M30" s="9">
        <f t="shared" si="2"/>
        <v>346.608</v>
      </c>
      <c r="N30" s="59">
        <v>0</v>
      </c>
      <c r="O30" s="59">
        <f t="shared" si="4"/>
        <v>0</v>
      </c>
    </row>
    <row r="31" spans="1:15" x14ac:dyDescent="0.45">
      <c r="B31" s="5" t="s">
        <v>33</v>
      </c>
      <c r="C31" s="2" t="s">
        <v>35</v>
      </c>
      <c r="D31" s="19" t="str">
        <f>Parameters!F39</f>
        <v>-</v>
      </c>
      <c r="E31" s="16" t="s">
        <v>35</v>
      </c>
      <c r="F31" s="2">
        <v>2</v>
      </c>
      <c r="G31" s="4">
        <f>'GMV(Layer)'!AA31</f>
        <v>0</v>
      </c>
      <c r="H31" s="9">
        <f>'GMV(Layer)'!AB31</f>
        <v>0.30328200000000005</v>
      </c>
      <c r="I31" s="36">
        <f>H31*(F31/365)</f>
        <v>1.6618191780821921E-3</v>
      </c>
      <c r="J31" s="2">
        <v>1</v>
      </c>
      <c r="K31" s="9">
        <f t="shared" si="0"/>
        <v>1.661819178082192</v>
      </c>
      <c r="L31" s="9">
        <f t="shared" si="1"/>
        <v>0</v>
      </c>
      <c r="M31" s="9">
        <f t="shared" si="2"/>
        <v>303.28200000000004</v>
      </c>
      <c r="N31" s="59">
        <v>0</v>
      </c>
      <c r="O31" s="59">
        <f t="shared" si="4"/>
        <v>0</v>
      </c>
    </row>
    <row r="33" spans="11:11" x14ac:dyDescent="0.45">
      <c r="K33" s="9">
        <f>SUM(K27:K31)</f>
        <v>854.93425548340792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0E31-44F9-2943-9CF9-4388258A3D87}">
  <dimension ref="A1:Q12"/>
  <sheetViews>
    <sheetView topLeftCell="A4" workbookViewId="0">
      <pane xSplit="1" topLeftCell="E1" activePane="topRight" state="frozen"/>
      <selection pane="topRight" activeCell="H7" sqref="H7"/>
    </sheetView>
  </sheetViews>
  <sheetFormatPr defaultColWidth="11.07421875" defaultRowHeight="17.5" x14ac:dyDescent="0.45"/>
  <cols>
    <col min="3" max="3" width="17.84375" customWidth="1"/>
    <col min="4" max="4" width="19.3828125" customWidth="1"/>
    <col min="5" max="5" width="22.53515625" customWidth="1"/>
    <col min="6" max="6" width="23.84375" customWidth="1"/>
    <col min="7" max="7" width="9.15234375" customWidth="1"/>
    <col min="8" max="8" width="19.53515625" customWidth="1"/>
    <col min="9" max="9" width="21.3046875" customWidth="1"/>
    <col min="10" max="10" width="22.53515625" customWidth="1"/>
    <col min="11" max="11" width="19.69140625" customWidth="1"/>
    <col min="12" max="12" width="18.69140625" customWidth="1"/>
    <col min="13" max="13" width="18.15234375" bestFit="1" customWidth="1"/>
    <col min="14" max="14" width="20" customWidth="1"/>
    <col min="15" max="15" width="18.3046875" customWidth="1"/>
  </cols>
  <sheetData>
    <row r="1" spans="1:17" ht="93" x14ac:dyDescent="0.4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86</v>
      </c>
      <c r="H1" t="s">
        <v>85</v>
      </c>
      <c r="I1" s="23" t="s">
        <v>128</v>
      </c>
      <c r="J1" t="s">
        <v>153</v>
      </c>
      <c r="K1" s="23" t="s">
        <v>93</v>
      </c>
      <c r="L1" s="23" t="s">
        <v>94</v>
      </c>
      <c r="M1" s="23" t="s">
        <v>95</v>
      </c>
      <c r="N1" s="23" t="s">
        <v>96</v>
      </c>
      <c r="O1" s="23" t="s">
        <v>106</v>
      </c>
      <c r="P1" s="23"/>
      <c r="Q1" s="23"/>
    </row>
    <row r="2" spans="1:17" x14ac:dyDescent="0.45">
      <c r="A2" t="s">
        <v>10</v>
      </c>
      <c r="B2">
        <v>0</v>
      </c>
      <c r="C2" s="25">
        <f>Parameters!K10</f>
        <v>0.2</v>
      </c>
      <c r="D2" s="25">
        <f>Parameters!J10</f>
        <v>0</v>
      </c>
      <c r="E2">
        <f>Parameters!L10</f>
        <v>1</v>
      </c>
      <c r="F2">
        <f>표3[[#This Row],[Base Fee(Hype)]]*표3[[#This Row],[Multiplier (1 − wₙ · δ)]]</f>
        <v>0</v>
      </c>
      <c r="G2">
        <f>'GMV(Layer)'!V6/'GMV(Layer)'!V11</f>
        <v>1</v>
      </c>
      <c r="H2" s="24">
        <f>H3*표3[[#This Row],[F_L3]]</f>
        <v>57575.757575757591</v>
      </c>
      <c r="I2" s="54">
        <v>0</v>
      </c>
      <c r="J2" s="24">
        <f>표3[[#This Row],[Launch Count / mo]]*표3[[#This Row],[Graduation Ratio (θ)]]</f>
        <v>0</v>
      </c>
      <c r="K2" s="24">
        <f>표3[[#This Row],[Effective Fee (HYPE eqv.)]]*표3[[#This Row],[Graduation Count / mo]]</f>
        <v>0</v>
      </c>
      <c r="L2" s="24">
        <f>표3[[#This Row],[Monthly Fee (HYPE)]]*12</f>
        <v>0</v>
      </c>
      <c r="M2" s="27" cm="1">
        <f t="array" ref="M2">표3[[#This Row],[Monthly Fee (HYPE)]]*표5[$HYPE in USD]</f>
        <v>0</v>
      </c>
      <c r="N2" s="27">
        <f>표3[[#This Row],[Monthly Fee (USD)]]*12</f>
        <v>0</v>
      </c>
      <c r="O2" s="70">
        <f>표3[[#This Row],[Monthly Fee (USD)]]/1000000000</f>
        <v>0</v>
      </c>
    </row>
    <row r="3" spans="1:17" x14ac:dyDescent="0.45">
      <c r="A3" t="s">
        <v>11</v>
      </c>
      <c r="B3">
        <v>4.4999999999999998E-2</v>
      </c>
      <c r="C3" s="25">
        <f>Parameters!K11</f>
        <v>0.2</v>
      </c>
      <c r="D3" s="25">
        <f>Parameters!J11</f>
        <v>0.15</v>
      </c>
      <c r="E3">
        <f>Parameters!L11</f>
        <v>0.97</v>
      </c>
      <c r="F3">
        <f>표3[[#This Row],[Base Fee(Hype)]]*표3[[#This Row],[Multiplier (1 − wₙ · δ)]]</f>
        <v>4.3649999999999994E-2</v>
      </c>
      <c r="G3">
        <f>'GMV(Layer)'!V11/'GMV(Layer)'!V16</f>
        <v>0.4208754208754209</v>
      </c>
      <c r="H3" s="24">
        <f>H4*표3[[#This Row],[F_L3]]</f>
        <v>57575.757575757591</v>
      </c>
      <c r="I3" s="54">
        <v>5.0000000000000001E-3</v>
      </c>
      <c r="J3" s="24">
        <f>표3[[#This Row],[Launch Count / mo]]*표3[[#This Row],[Graduation Ratio (θ)]]</f>
        <v>287.87878787878793</v>
      </c>
      <c r="K3" s="24">
        <f>표3[[#This Row],[Effective Fee (HYPE eqv.)]]*표3[[#This Row],[Graduation Count / mo]]</f>
        <v>12.565909090909091</v>
      </c>
      <c r="L3" s="24">
        <f>표3[[#This Row],[Monthly Fee (HYPE)]]*12</f>
        <v>150.79090909090911</v>
      </c>
      <c r="M3" s="27" cm="1">
        <f t="array" ref="M3">표3[[#This Row],[Monthly Fee (HYPE)]]*표5[$HYPE in USD]</f>
        <v>502.63636363636363</v>
      </c>
      <c r="N3" s="27">
        <f>표3[[#This Row],[Monthly Fee (USD)]]*12</f>
        <v>6031.636363636364</v>
      </c>
      <c r="O3" s="70">
        <f>표3[[#This Row],[Monthly Fee (USD)]]/1000000000</f>
        <v>5.0263636363636362E-7</v>
      </c>
    </row>
    <row r="4" spans="1:17" x14ac:dyDescent="0.45">
      <c r="A4" t="s">
        <v>12</v>
      </c>
      <c r="B4">
        <v>4.4999999999999998E-2</v>
      </c>
      <c r="C4" s="25">
        <f>Parameters!K12</f>
        <v>0.2</v>
      </c>
      <c r="D4" s="25">
        <f>Parameters!J12</f>
        <v>0.25</v>
      </c>
      <c r="E4">
        <f>Parameters!L12</f>
        <v>0.95</v>
      </c>
      <c r="F4">
        <f>표3[[#This Row],[Base Fee(Hype)]]*표3[[#This Row],[Multiplier (1 − wₙ · δ)]]</f>
        <v>4.2749999999999996E-2</v>
      </c>
      <c r="G4">
        <f>'GMV(Layer)'!V16/'GMV(Layer)'!V21</f>
        <v>0.71428571428571419</v>
      </c>
      <c r="H4" s="24">
        <f>H5*표3[[#This Row],[F_L3]]</f>
        <v>136800.00000000003</v>
      </c>
      <c r="I4" s="54">
        <v>8.0000000000000002E-3</v>
      </c>
      <c r="J4" s="24">
        <f>표3[[#This Row],[Launch Count / mo]]*표3[[#This Row],[Graduation Ratio (θ)]]</f>
        <v>1094.4000000000003</v>
      </c>
      <c r="K4" s="24">
        <f>표3[[#This Row],[Effective Fee (HYPE eqv.)]]*표3[[#This Row],[Graduation Count / mo]]</f>
        <v>46.785600000000009</v>
      </c>
      <c r="L4" s="24">
        <f>표3[[#This Row],[Monthly Fee (HYPE)]]*12</f>
        <v>561.42720000000008</v>
      </c>
      <c r="M4" s="27" cm="1">
        <f t="array" ref="M4">표3[[#This Row],[Monthly Fee (HYPE)]]*표5[$HYPE in USD]</f>
        <v>1871.4240000000004</v>
      </c>
      <c r="N4" s="27">
        <f>표3[[#This Row],[Monthly Fee (USD)]]*12</f>
        <v>22457.088000000003</v>
      </c>
      <c r="O4" s="70">
        <f>표3[[#This Row],[Monthly Fee (USD)]]/1000000000</f>
        <v>1.8714240000000004E-6</v>
      </c>
    </row>
    <row r="5" spans="1:17" x14ac:dyDescent="0.45">
      <c r="A5" t="s">
        <v>13</v>
      </c>
      <c r="B5">
        <v>4.4999999999999998E-2</v>
      </c>
      <c r="C5" s="25">
        <f>Parameters!K13</f>
        <v>0.2</v>
      </c>
      <c r="D5" s="25">
        <f>Parameters!J13</f>
        <v>0.35</v>
      </c>
      <c r="E5">
        <f>Parameters!L13</f>
        <v>0.93</v>
      </c>
      <c r="F5">
        <f>표3[[#This Row],[Base Fee(Hype)]]*표3[[#This Row],[Multiplier (1 − wₙ · δ)]]</f>
        <v>4.1849999999999998E-2</v>
      </c>
      <c r="G5">
        <f>'GMV(Layer)'!V21/'GMV(Layer)'!V26</f>
        <v>0.93333333333333346</v>
      </c>
      <c r="H5" s="24">
        <f>H6*표3[[#This Row],[F_L3]]</f>
        <v>191520.00000000006</v>
      </c>
      <c r="I5" s="54">
        <v>0.01</v>
      </c>
      <c r="J5" s="24">
        <f>표3[[#This Row],[Launch Count / mo]]*표3[[#This Row],[Graduation Ratio (θ)]]</f>
        <v>1915.2000000000007</v>
      </c>
      <c r="K5" s="24">
        <f>표3[[#This Row],[Effective Fee (HYPE eqv.)]]*표3[[#This Row],[Graduation Count / mo]]</f>
        <v>80.15112000000002</v>
      </c>
      <c r="L5" s="24">
        <f>표3[[#This Row],[Monthly Fee (HYPE)]]*12</f>
        <v>961.81344000000024</v>
      </c>
      <c r="M5" s="27" cm="1">
        <f t="array" ref="M5">표3[[#This Row],[Monthly Fee (HYPE)]]*표5[$HYPE in USD]</f>
        <v>3206.0448000000006</v>
      </c>
      <c r="N5" s="27">
        <f>표3[[#This Row],[Monthly Fee (USD)]]*12</f>
        <v>38472.537600000011</v>
      </c>
      <c r="O5" s="70">
        <f>표3[[#This Row],[Monthly Fee (USD)]]/1000000000</f>
        <v>3.2060448000000006E-6</v>
      </c>
    </row>
    <row r="6" spans="1:17" x14ac:dyDescent="0.45">
      <c r="A6" t="s">
        <v>14</v>
      </c>
      <c r="B6">
        <v>4.4999999999999998E-2</v>
      </c>
      <c r="C6" s="25">
        <f>Parameters!K14</f>
        <v>0.2</v>
      </c>
      <c r="D6" s="25">
        <f>Parameters!J14</f>
        <v>0.45</v>
      </c>
      <c r="E6">
        <f>Parameters!L14</f>
        <v>0.91</v>
      </c>
      <c r="F6">
        <f>표3[[#This Row],[Base Fee(Hype)]]*표3[[#This Row],[Multiplier (1 − wₙ · δ)]]</f>
        <v>4.095E-2</v>
      </c>
      <c r="G6">
        <f>'GMV(Layer)'!V26/'GMV(Layer)'!V31</f>
        <v>1.1904761904761907</v>
      </c>
      <c r="H6" s="24">
        <f>H7*표3[[#This Row],[F_L3]]</f>
        <v>205200.00000000003</v>
      </c>
      <c r="I6" s="54">
        <v>1.2E-2</v>
      </c>
      <c r="J6" s="24">
        <f>표3[[#This Row],[Launch Count / mo]]*표3[[#This Row],[Graduation Ratio (θ)]]</f>
        <v>2462.4000000000005</v>
      </c>
      <c r="K6" s="24">
        <f>표3[[#This Row],[Effective Fee (HYPE eqv.)]]*표3[[#This Row],[Graduation Count / mo]]</f>
        <v>100.83528000000003</v>
      </c>
      <c r="L6" s="24">
        <f>표3[[#This Row],[Monthly Fee (HYPE)]]*12</f>
        <v>1210.0233600000004</v>
      </c>
      <c r="M6" s="27" cm="1">
        <f t="array" ref="M6">표3[[#This Row],[Monthly Fee (HYPE)]]*표5[$HYPE in USD]</f>
        <v>4033.4112000000009</v>
      </c>
      <c r="N6" s="27">
        <f>표3[[#This Row],[Monthly Fee (USD)]]*12</f>
        <v>48400.934400000013</v>
      </c>
      <c r="O6" s="70">
        <f>표3[[#This Row],[Monthly Fee (USD)]]/1000000000</f>
        <v>4.033411200000001E-6</v>
      </c>
    </row>
    <row r="7" spans="1:17" x14ac:dyDescent="0.45">
      <c r="A7" t="s">
        <v>15</v>
      </c>
      <c r="B7">
        <v>4.4999999999999998E-2</v>
      </c>
      <c r="C7" s="25">
        <f>Parameters!K15</f>
        <v>0.2</v>
      </c>
      <c r="D7" s="25">
        <f>Parameters!J15</f>
        <v>0.6</v>
      </c>
      <c r="E7">
        <f>Parameters!L15</f>
        <v>0.88</v>
      </c>
      <c r="F7">
        <f>표3[[#This Row],[Base Fee(Hype)]]*표3[[#This Row],[Multiplier (1 − wₙ · δ)]]</f>
        <v>3.9599999999999996E-2</v>
      </c>
      <c r="G7">
        <v>1</v>
      </c>
      <c r="H7" s="24">
        <v>172368</v>
      </c>
      <c r="I7" s="54">
        <v>1.4E-2</v>
      </c>
      <c r="J7" s="24">
        <f>표3[[#This Row],[Launch Count / mo]]*표3[[#This Row],[Graduation Ratio (θ)]]</f>
        <v>2413.152</v>
      </c>
      <c r="K7" s="24">
        <f>표3[[#This Row],[Effective Fee (HYPE eqv.)]]*표3[[#This Row],[Graduation Count / mo]]</f>
        <v>95.560819199999997</v>
      </c>
      <c r="L7" s="24">
        <f>표3[[#This Row],[Monthly Fee (HYPE)]]*12</f>
        <v>1146.7298304000001</v>
      </c>
      <c r="M7" s="27" cm="1">
        <f t="array" ref="M7">표3[[#This Row],[Monthly Fee (HYPE)]]*표5[$HYPE in USD]</f>
        <v>3822.4327679999997</v>
      </c>
      <c r="N7" s="27">
        <f>표3[[#This Row],[Monthly Fee (USD)]]*12</f>
        <v>45869.193216</v>
      </c>
      <c r="O7" s="70">
        <f>표3[[#This Row],[Monthly Fee (USD)]]/1000000000</f>
        <v>3.8224327679999995E-6</v>
      </c>
    </row>
    <row r="11" spans="1:17" x14ac:dyDescent="0.45">
      <c r="L11" s="27"/>
    </row>
    <row r="12" spans="1:17" x14ac:dyDescent="0.45">
      <c r="M12" s="2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9BD5-3A37-5C44-8B56-472C5A451FED}">
  <dimension ref="A1:M31"/>
  <sheetViews>
    <sheetView topLeftCell="E1" workbookViewId="0">
      <selection activeCell="J27" sqref="J27:J29"/>
    </sheetView>
  </sheetViews>
  <sheetFormatPr defaultColWidth="11.07421875" defaultRowHeight="17.5" x14ac:dyDescent="0.45"/>
  <cols>
    <col min="3" max="3" width="15" bestFit="1" customWidth="1"/>
    <col min="6" max="6" width="12.84375" customWidth="1"/>
    <col min="7" max="7" width="18" customWidth="1"/>
    <col min="8" max="8" width="12.3046875" customWidth="1"/>
    <col min="9" max="9" width="13.69140625" customWidth="1"/>
    <col min="10" max="10" width="17.15234375" customWidth="1"/>
    <col min="13" max="13" width="14.69140625" customWidth="1"/>
  </cols>
  <sheetData>
    <row r="1" spans="1:13" s="1" customFormat="1" x14ac:dyDescent="0.45">
      <c r="A1" s="3" t="s">
        <v>0</v>
      </c>
      <c r="B1" s="3" t="s">
        <v>18</v>
      </c>
      <c r="C1" s="71" t="s">
        <v>102</v>
      </c>
      <c r="D1" s="3" t="s">
        <v>20</v>
      </c>
      <c r="E1" s="3"/>
      <c r="F1" s="3" t="s">
        <v>99</v>
      </c>
      <c r="G1" s="32" t="s">
        <v>100</v>
      </c>
      <c r="H1" s="3" t="s">
        <v>103</v>
      </c>
      <c r="I1" s="3" t="s">
        <v>105</v>
      </c>
      <c r="J1" s="3" t="s">
        <v>157</v>
      </c>
      <c r="K1" s="3"/>
      <c r="L1" s="1" t="s">
        <v>0</v>
      </c>
      <c r="M1" s="1" t="s">
        <v>156</v>
      </c>
    </row>
    <row r="2" spans="1:13" s="7" customFormat="1" x14ac:dyDescent="0.45">
      <c r="A2" s="12" t="s">
        <v>10</v>
      </c>
      <c r="B2" s="6" t="s">
        <v>26</v>
      </c>
      <c r="C2" s="72">
        <f>AUM!I2</f>
        <v>5.7073078199838785E-3</v>
      </c>
      <c r="D2" s="6">
        <v>12</v>
      </c>
      <c r="E2" s="73">
        <v>1E-3</v>
      </c>
      <c r="F2" s="73">
        <f>D2*E2</f>
        <v>1.2E-2</v>
      </c>
      <c r="G2" s="18">
        <f>Parameters!J10</f>
        <v>0</v>
      </c>
      <c r="H2" s="74">
        <f>F2*(1-G2*Parameters!$K$10)</f>
        <v>1.2E-2</v>
      </c>
      <c r="I2" s="72">
        <f>C2*H2</f>
        <v>6.8487693839806542E-5</v>
      </c>
      <c r="J2" s="72">
        <f>I2/12</f>
        <v>5.7073078199838788E-6</v>
      </c>
      <c r="K2" s="6"/>
      <c r="L2" s="6" t="s">
        <v>10</v>
      </c>
      <c r="M2" s="72">
        <f>SUM(J2:J4)</f>
        <v>2.1246673949320518E-5</v>
      </c>
    </row>
    <row r="3" spans="1:13" x14ac:dyDescent="0.45">
      <c r="A3" s="2"/>
      <c r="B3" s="2" t="s">
        <v>28</v>
      </c>
      <c r="C3" s="75">
        <f>AUM!I3</f>
        <v>7.17201513661691E-3</v>
      </c>
      <c r="D3" s="2">
        <v>26</v>
      </c>
      <c r="E3" s="76">
        <v>1E-3</v>
      </c>
      <c r="F3" s="76">
        <f t="shared" ref="F3:F29" si="0">D3*E3</f>
        <v>2.6000000000000002E-2</v>
      </c>
      <c r="G3" s="19">
        <f>Parameters!J10</f>
        <v>0</v>
      </c>
      <c r="H3" s="77">
        <f>F3*(1-G3*Parameters!$K$10)</f>
        <v>2.6000000000000002E-2</v>
      </c>
      <c r="I3" s="75">
        <f t="shared" ref="I3:I29" si="1">C3*H3</f>
        <v>1.8647239355203967E-4</v>
      </c>
      <c r="J3" s="75">
        <f t="shared" ref="J3:J29" si="2">I3/12</f>
        <v>1.5539366129336638E-5</v>
      </c>
      <c r="K3" s="2"/>
      <c r="L3" s="2" t="s">
        <v>11</v>
      </c>
      <c r="M3" s="75">
        <f>SUM(J7:J9)</f>
        <v>1.2057283921975736E-4</v>
      </c>
    </row>
    <row r="4" spans="1:13" x14ac:dyDescent="0.45">
      <c r="A4" s="2"/>
      <c r="B4" s="2" t="s">
        <v>30</v>
      </c>
      <c r="C4" s="75">
        <f>AUM!I4</f>
        <v>0</v>
      </c>
      <c r="D4" s="2">
        <v>26</v>
      </c>
      <c r="E4" s="76">
        <v>1E-3</v>
      </c>
      <c r="F4" s="76">
        <f t="shared" si="0"/>
        <v>2.6000000000000002E-2</v>
      </c>
      <c r="G4" s="19">
        <f>Parameters!J10</f>
        <v>0</v>
      </c>
      <c r="H4" s="77">
        <f>F4*(1-G4*Parameters!$K$10)</f>
        <v>2.6000000000000002E-2</v>
      </c>
      <c r="I4" s="75">
        <f t="shared" si="1"/>
        <v>0</v>
      </c>
      <c r="J4" s="75">
        <f t="shared" si="2"/>
        <v>0</v>
      </c>
      <c r="K4" s="2"/>
      <c r="L4" s="2" t="s">
        <v>12</v>
      </c>
      <c r="M4" s="75">
        <f>SUM(J12:J14)</f>
        <v>3.7776239590033527E-4</v>
      </c>
    </row>
    <row r="5" spans="1:13" x14ac:dyDescent="0.45">
      <c r="A5" s="2"/>
      <c r="B5" s="2" t="s">
        <v>32</v>
      </c>
      <c r="C5" s="75">
        <f>AUM!I5</f>
        <v>3.8856602555232698E-4</v>
      </c>
      <c r="D5" s="2" t="s">
        <v>35</v>
      </c>
      <c r="E5" s="2" t="s">
        <v>35</v>
      </c>
      <c r="F5" s="2" t="s">
        <v>35</v>
      </c>
      <c r="G5" s="19">
        <f>Parameters!J10</f>
        <v>0</v>
      </c>
      <c r="H5" s="2" t="s">
        <v>35</v>
      </c>
      <c r="I5" s="2" t="s">
        <v>35</v>
      </c>
      <c r="J5" s="2" t="s">
        <v>35</v>
      </c>
      <c r="K5" s="2"/>
      <c r="L5" s="2" t="s">
        <v>13</v>
      </c>
      <c r="M5" s="75">
        <f>SUM(J17:J19)</f>
        <v>6.4431016130105329E-4</v>
      </c>
    </row>
    <row r="6" spans="1:13" x14ac:dyDescent="0.45">
      <c r="A6" s="2"/>
      <c r="B6" s="2" t="s">
        <v>34</v>
      </c>
      <c r="C6" s="75">
        <f>AUM!I6</f>
        <v>5.5509432221761002E-4</v>
      </c>
      <c r="D6" s="2" t="s">
        <v>35</v>
      </c>
      <c r="E6" s="2" t="s">
        <v>35</v>
      </c>
      <c r="F6" s="2" t="s">
        <v>35</v>
      </c>
      <c r="G6" s="19">
        <f>Parameters!J10</f>
        <v>0</v>
      </c>
      <c r="H6" s="2" t="s">
        <v>35</v>
      </c>
      <c r="I6" s="2" t="s">
        <v>35</v>
      </c>
      <c r="J6" s="2" t="s">
        <v>35</v>
      </c>
      <c r="K6" s="2"/>
      <c r="L6" s="2" t="s">
        <v>14</v>
      </c>
      <c r="M6" s="75">
        <f>SUM(J22:J24)</f>
        <v>9.0741185342861294E-4</v>
      </c>
    </row>
    <row r="7" spans="1:13" s="7" customFormat="1" x14ac:dyDescent="0.45">
      <c r="A7" s="6" t="s">
        <v>11</v>
      </c>
      <c r="B7" s="6" t="s">
        <v>26</v>
      </c>
      <c r="C7" s="72">
        <f>AUM!I7</f>
        <v>4.5658462559871028E-2</v>
      </c>
      <c r="D7" s="6">
        <v>12</v>
      </c>
      <c r="E7" s="73">
        <v>1E-3</v>
      </c>
      <c r="F7" s="73">
        <f t="shared" si="0"/>
        <v>1.2E-2</v>
      </c>
      <c r="G7" s="18">
        <f>Parameters!J11</f>
        <v>0.15</v>
      </c>
      <c r="H7" s="74">
        <f>F7*(1-G7*Parameters!$K$10)</f>
        <v>1.1639999999999999E-2</v>
      </c>
      <c r="I7" s="72">
        <f t="shared" si="1"/>
        <v>5.3146450419689869E-4</v>
      </c>
      <c r="J7" s="72">
        <f t="shared" si="2"/>
        <v>4.4288708683074891E-5</v>
      </c>
      <c r="K7" s="6"/>
      <c r="L7" s="6" t="s">
        <v>15</v>
      </c>
      <c r="M7" s="72">
        <f>SUM(J27:J29)</f>
        <v>1.0150435157268319E-3</v>
      </c>
    </row>
    <row r="8" spans="1:13" x14ac:dyDescent="0.45">
      <c r="A8" s="2"/>
      <c r="B8" s="2" t="s">
        <v>28</v>
      </c>
      <c r="C8" s="75">
        <f>AUM!I8</f>
        <v>3.5860075683084545E-2</v>
      </c>
      <c r="D8" s="2">
        <v>26</v>
      </c>
      <c r="E8" s="76">
        <v>1E-3</v>
      </c>
      <c r="F8" s="76">
        <f t="shared" si="0"/>
        <v>2.6000000000000002E-2</v>
      </c>
      <c r="G8" s="19">
        <f>Parameters!J11</f>
        <v>0.15</v>
      </c>
      <c r="H8" s="77">
        <f>F8*(1-G8*Parameters!$K$10)</f>
        <v>2.5220000000000003E-2</v>
      </c>
      <c r="I8" s="75">
        <f t="shared" si="1"/>
        <v>9.0439110872739237E-4</v>
      </c>
      <c r="J8" s="75">
        <f t="shared" si="2"/>
        <v>7.5365925727282693E-5</v>
      </c>
      <c r="K8" s="2"/>
    </row>
    <row r="9" spans="1:13" x14ac:dyDescent="0.45">
      <c r="A9" s="2"/>
      <c r="B9" s="2" t="s">
        <v>30</v>
      </c>
      <c r="C9" s="75">
        <f>AUM!I9</f>
        <v>4.368936444408144E-4</v>
      </c>
      <c r="D9" s="2">
        <v>26</v>
      </c>
      <c r="E9" s="76">
        <v>1E-3</v>
      </c>
      <c r="F9" s="76">
        <f t="shared" si="0"/>
        <v>2.6000000000000002E-2</v>
      </c>
      <c r="G9" s="19">
        <f>Parameters!J11</f>
        <v>0.15</v>
      </c>
      <c r="H9" s="77">
        <f>F9*(1-G9*Parameters!$K$10)</f>
        <v>2.5220000000000003E-2</v>
      </c>
      <c r="I9" s="75">
        <f t="shared" si="1"/>
        <v>1.101845771279734E-5</v>
      </c>
      <c r="J9" s="75">
        <f t="shared" si="2"/>
        <v>9.182048093997783E-7</v>
      </c>
      <c r="K9" s="2"/>
    </row>
    <row r="10" spans="1:13" x14ac:dyDescent="0.45">
      <c r="A10" s="2"/>
      <c r="B10" s="2" t="s">
        <v>32</v>
      </c>
      <c r="C10" s="75">
        <f>AUM!I10</f>
        <v>5.5509432221761002E-4</v>
      </c>
      <c r="D10" s="2" t="s">
        <v>35</v>
      </c>
      <c r="E10" s="2" t="s">
        <v>35</v>
      </c>
      <c r="F10" s="2" t="s">
        <v>35</v>
      </c>
      <c r="G10" s="19">
        <f>Parameters!J11</f>
        <v>0.15</v>
      </c>
      <c r="H10" s="2" t="s">
        <v>35</v>
      </c>
      <c r="I10" s="2" t="s">
        <v>35</v>
      </c>
      <c r="J10" s="2" t="s">
        <v>35</v>
      </c>
      <c r="K10" s="2"/>
    </row>
    <row r="11" spans="1:13" x14ac:dyDescent="0.45">
      <c r="A11" s="2"/>
      <c r="B11" s="2" t="s">
        <v>34</v>
      </c>
      <c r="C11" s="75">
        <f>AUM!I11</f>
        <v>5.5509432221761002E-4</v>
      </c>
      <c r="D11" s="2">
        <v>0</v>
      </c>
      <c r="E11" s="2" t="s">
        <v>35</v>
      </c>
      <c r="F11" s="2" t="s">
        <v>35</v>
      </c>
      <c r="G11" s="19">
        <f>Parameters!J11</f>
        <v>0.15</v>
      </c>
      <c r="H11" s="2" t="s">
        <v>35</v>
      </c>
      <c r="I11" s="2" t="s">
        <v>35</v>
      </c>
      <c r="J11" s="2" t="s">
        <v>35</v>
      </c>
      <c r="K11" s="2"/>
    </row>
    <row r="12" spans="1:13" s="7" customFormat="1" x14ac:dyDescent="0.45">
      <c r="A12" s="6" t="s">
        <v>12</v>
      </c>
      <c r="B12" s="6" t="s">
        <v>26</v>
      </c>
      <c r="C12" s="72">
        <f>AUM!I12</f>
        <v>0.16751659277173186</v>
      </c>
      <c r="D12" s="6">
        <v>12</v>
      </c>
      <c r="E12" s="73">
        <v>1E-3</v>
      </c>
      <c r="F12" s="73">
        <f t="shared" si="0"/>
        <v>1.2E-2</v>
      </c>
      <c r="G12" s="18">
        <f>표2[[#This Row],[wₙ (Native Usage)]]</f>
        <v>0.25</v>
      </c>
      <c r="H12" s="74">
        <f>F12*(1-G12*Parameters!$K$10)</f>
        <v>1.14E-2</v>
      </c>
      <c r="I12" s="72">
        <f t="shared" si="1"/>
        <v>1.9096891575977432E-3</v>
      </c>
      <c r="J12" s="72">
        <f t="shared" si="2"/>
        <v>1.5914076313314527E-4</v>
      </c>
      <c r="K12" s="6"/>
    </row>
    <row r="13" spans="1:13" x14ac:dyDescent="0.45">
      <c r="A13" s="2"/>
      <c r="B13" s="2" t="s">
        <v>28</v>
      </c>
      <c r="C13" s="75">
        <f>AUM!I13</f>
        <v>0.10408431421654565</v>
      </c>
      <c r="D13" s="2">
        <v>26</v>
      </c>
      <c r="E13" s="76">
        <v>1E-3</v>
      </c>
      <c r="F13" s="76">
        <f t="shared" si="0"/>
        <v>2.6000000000000002E-2</v>
      </c>
      <c r="G13" s="19">
        <f>G12</f>
        <v>0.25</v>
      </c>
      <c r="H13" s="77">
        <f>F13*(1-G13*Parameters!$K$10)</f>
        <v>2.47E-2</v>
      </c>
      <c r="I13" s="75">
        <f t="shared" si="1"/>
        <v>2.5708825611486775E-3</v>
      </c>
      <c r="J13" s="75">
        <f t="shared" si="2"/>
        <v>2.1424021342905645E-4</v>
      </c>
      <c r="K13" s="2"/>
    </row>
    <row r="14" spans="1:13" x14ac:dyDescent="0.45">
      <c r="A14" s="2"/>
      <c r="B14" s="2" t="s">
        <v>30</v>
      </c>
      <c r="C14" s="75">
        <f>AUM!I14</f>
        <v>2.1286247796600049E-3</v>
      </c>
      <c r="D14" s="2">
        <v>26</v>
      </c>
      <c r="E14" s="76">
        <v>1E-3</v>
      </c>
      <c r="F14" s="76">
        <f t="shared" si="0"/>
        <v>2.6000000000000002E-2</v>
      </c>
      <c r="G14" s="19">
        <f t="shared" ref="G14:G16" si="3">G13</f>
        <v>0.25</v>
      </c>
      <c r="H14" s="77">
        <f>F14*(1-G14*Parameters!$K$10)</f>
        <v>2.47E-2</v>
      </c>
      <c r="I14" s="75">
        <f t="shared" si="1"/>
        <v>5.2577032057602119E-5</v>
      </c>
      <c r="J14" s="75">
        <f t="shared" si="2"/>
        <v>4.3814193381335099E-6</v>
      </c>
      <c r="K14" s="2"/>
    </row>
    <row r="15" spans="1:13" x14ac:dyDescent="0.45">
      <c r="A15" s="2"/>
      <c r="B15" s="2" t="s">
        <v>32</v>
      </c>
      <c r="C15" s="75">
        <f>AUM!I15</f>
        <v>1.3189041095890415E-3</v>
      </c>
      <c r="D15" s="2" t="s">
        <v>35</v>
      </c>
      <c r="E15" s="2" t="s">
        <v>35</v>
      </c>
      <c r="F15" s="2" t="s">
        <v>35</v>
      </c>
      <c r="G15" s="19">
        <f t="shared" si="3"/>
        <v>0.25</v>
      </c>
      <c r="H15" s="2" t="s">
        <v>35</v>
      </c>
      <c r="I15" s="2" t="s">
        <v>35</v>
      </c>
      <c r="J15" s="2" t="s">
        <v>35</v>
      </c>
      <c r="K15" s="2"/>
    </row>
    <row r="16" spans="1:13" x14ac:dyDescent="0.45">
      <c r="A16" s="2"/>
      <c r="B16" s="2" t="s">
        <v>34</v>
      </c>
      <c r="C16" s="75">
        <f>AUM!I16</f>
        <v>1.3189041095890415E-3</v>
      </c>
      <c r="D16" s="2" t="s">
        <v>35</v>
      </c>
      <c r="E16" s="2" t="s">
        <v>35</v>
      </c>
      <c r="F16" s="2" t="s">
        <v>35</v>
      </c>
      <c r="G16" s="19">
        <f t="shared" si="3"/>
        <v>0.25</v>
      </c>
      <c r="H16" s="2" t="s">
        <v>35</v>
      </c>
      <c r="I16" s="2" t="s">
        <v>35</v>
      </c>
      <c r="J16" s="2" t="s">
        <v>35</v>
      </c>
      <c r="K16" s="2"/>
    </row>
    <row r="17" spans="1:11" s="7" customFormat="1" x14ac:dyDescent="0.45">
      <c r="A17" s="6" t="s">
        <v>13</v>
      </c>
      <c r="B17" s="6" t="s">
        <v>26</v>
      </c>
      <c r="C17" s="72">
        <f>AUM!I17</f>
        <v>0.32621733102253048</v>
      </c>
      <c r="D17" s="6">
        <v>12</v>
      </c>
      <c r="E17" s="73">
        <v>1E-3</v>
      </c>
      <c r="F17" s="73">
        <f t="shared" si="0"/>
        <v>1.2E-2</v>
      </c>
      <c r="G17" s="18">
        <f>Parameters!J13</f>
        <v>0.35</v>
      </c>
      <c r="H17" s="74">
        <f>F17*(1-G17*Parameters!$K$10)</f>
        <v>1.1160000000000002E-2</v>
      </c>
      <c r="I17" s="72">
        <f t="shared" si="1"/>
        <v>3.6405854142114408E-3</v>
      </c>
      <c r="J17" s="72">
        <f t="shared" si="2"/>
        <v>3.0338211785095338E-4</v>
      </c>
      <c r="K17" s="6"/>
    </row>
    <row r="18" spans="1:11" x14ac:dyDescent="0.45">
      <c r="A18" s="2"/>
      <c r="B18" s="2" t="s">
        <v>28</v>
      </c>
      <c r="C18" s="75">
        <f>AUM!I18</f>
        <v>0.16472986184909674</v>
      </c>
      <c r="D18" s="2">
        <v>26</v>
      </c>
      <c r="E18" s="76">
        <v>1E-3</v>
      </c>
      <c r="F18" s="76">
        <f t="shared" si="0"/>
        <v>2.6000000000000002E-2</v>
      </c>
      <c r="G18" s="19">
        <f>G17</f>
        <v>0.35</v>
      </c>
      <c r="H18" s="77">
        <f>F18*(1-G18*Parameters!$K$10)</f>
        <v>2.4180000000000004E-2</v>
      </c>
      <c r="I18" s="75">
        <f t="shared" si="1"/>
        <v>3.9831680595111595E-3</v>
      </c>
      <c r="J18" s="75">
        <f t="shared" si="2"/>
        <v>3.3193067162592998E-4</v>
      </c>
      <c r="K18" s="2"/>
    </row>
    <row r="19" spans="1:11" x14ac:dyDescent="0.45">
      <c r="A19" s="2"/>
      <c r="B19" s="2" t="s">
        <v>30</v>
      </c>
      <c r="C19" s="75">
        <f>AUM!I19</f>
        <v>4.4651969350719203E-3</v>
      </c>
      <c r="D19" s="2">
        <v>26</v>
      </c>
      <c r="E19" s="76">
        <v>1E-3</v>
      </c>
      <c r="F19" s="76">
        <f t="shared" si="0"/>
        <v>2.6000000000000002E-2</v>
      </c>
      <c r="G19" s="19">
        <f t="shared" ref="G19:G21" si="4">G18</f>
        <v>0.35</v>
      </c>
      <c r="H19" s="77">
        <f>F19*(1-G19*Parameters!$K$10)</f>
        <v>2.4180000000000004E-2</v>
      </c>
      <c r="I19" s="75">
        <f t="shared" si="1"/>
        <v>1.0796846189003905E-4</v>
      </c>
      <c r="J19" s="75">
        <f t="shared" si="2"/>
        <v>8.9973718241699206E-6</v>
      </c>
      <c r="K19" s="2"/>
    </row>
    <row r="20" spans="1:11" x14ac:dyDescent="0.45">
      <c r="A20" s="2"/>
      <c r="B20" s="2" t="s">
        <v>32</v>
      </c>
      <c r="C20" s="75">
        <f>AUM!I20</f>
        <v>1.8464657534246582E-3</v>
      </c>
      <c r="D20" s="2" t="s">
        <v>35</v>
      </c>
      <c r="E20" s="2" t="s">
        <v>35</v>
      </c>
      <c r="F20" s="2" t="s">
        <v>35</v>
      </c>
      <c r="G20" s="19">
        <f t="shared" si="4"/>
        <v>0.35</v>
      </c>
      <c r="H20" s="2" t="s">
        <v>35</v>
      </c>
      <c r="I20" s="2" t="s">
        <v>35</v>
      </c>
      <c r="J20" s="2" t="s">
        <v>35</v>
      </c>
      <c r="K20" s="2"/>
    </row>
    <row r="21" spans="1:11" x14ac:dyDescent="0.45">
      <c r="A21" s="2"/>
      <c r="B21" s="2" t="s">
        <v>34</v>
      </c>
      <c r="C21" s="75">
        <f>AUM!I21</f>
        <v>1.8464657534246582E-3</v>
      </c>
      <c r="D21" s="2" t="s">
        <v>35</v>
      </c>
      <c r="E21" s="2" t="s">
        <v>35</v>
      </c>
      <c r="F21" s="2" t="s">
        <v>35</v>
      </c>
      <c r="G21" s="19">
        <f t="shared" si="4"/>
        <v>0.35</v>
      </c>
      <c r="H21" s="2" t="s">
        <v>35</v>
      </c>
      <c r="I21" s="2" t="s">
        <v>35</v>
      </c>
      <c r="J21" s="2" t="s">
        <v>35</v>
      </c>
      <c r="K21" s="2"/>
    </row>
    <row r="22" spans="1:11" s="7" customFormat="1" x14ac:dyDescent="0.45">
      <c r="A22" s="6" t="s">
        <v>14</v>
      </c>
      <c r="B22" s="6" t="s">
        <v>26</v>
      </c>
      <c r="C22" s="72">
        <f>AUM!I22</f>
        <v>0.51122123893805338</v>
      </c>
      <c r="D22" s="6">
        <v>12</v>
      </c>
      <c r="E22" s="73">
        <v>1E-3</v>
      </c>
      <c r="F22" s="73">
        <f t="shared" si="0"/>
        <v>1.2E-2</v>
      </c>
      <c r="G22" s="18">
        <f>Parameters!J14</f>
        <v>0.45</v>
      </c>
      <c r="H22" s="74">
        <f>F22*(1-G22*Parameters!$K$10)</f>
        <v>1.0920000000000001E-2</v>
      </c>
      <c r="I22" s="72">
        <f t="shared" si="1"/>
        <v>5.5825359292035436E-3</v>
      </c>
      <c r="J22" s="72">
        <f t="shared" si="2"/>
        <v>4.6521132743362865E-4</v>
      </c>
      <c r="K22" s="6"/>
    </row>
    <row r="23" spans="1:11" x14ac:dyDescent="0.45">
      <c r="A23" s="2"/>
      <c r="B23" s="2" t="s">
        <v>28</v>
      </c>
      <c r="C23" s="75">
        <f>AUM!I23</f>
        <v>0.21682359249329769</v>
      </c>
      <c r="D23" s="2">
        <v>26</v>
      </c>
      <c r="E23" s="76">
        <v>1E-3</v>
      </c>
      <c r="F23" s="76">
        <f t="shared" si="0"/>
        <v>2.6000000000000002E-2</v>
      </c>
      <c r="G23" s="19">
        <f>G22</f>
        <v>0.45</v>
      </c>
      <c r="H23" s="77">
        <f>F23*(1-G23*Parameters!$K$10)</f>
        <v>2.3660000000000004E-2</v>
      </c>
      <c r="I23" s="75">
        <f t="shared" si="1"/>
        <v>5.130046198391424E-3</v>
      </c>
      <c r="J23" s="75">
        <f t="shared" si="2"/>
        <v>4.27503849865952E-4</v>
      </c>
      <c r="K23" s="2"/>
    </row>
    <row r="24" spans="1:11" x14ac:dyDescent="0.45">
      <c r="A24" s="2"/>
      <c r="B24" s="2" t="s">
        <v>30</v>
      </c>
      <c r="C24" s="75">
        <f>AUM!I24</f>
        <v>7.4539354838709711E-3</v>
      </c>
      <c r="D24" s="2">
        <v>26</v>
      </c>
      <c r="E24" s="76">
        <v>1E-3</v>
      </c>
      <c r="F24" s="76">
        <f t="shared" si="0"/>
        <v>2.6000000000000002E-2</v>
      </c>
      <c r="G24" s="19">
        <f t="shared" ref="G24:G26" si="5">G23</f>
        <v>0.45</v>
      </c>
      <c r="H24" s="77">
        <f>F24*(1-G24*Parameters!$K$10)</f>
        <v>2.3660000000000004E-2</v>
      </c>
      <c r="I24" s="75">
        <f t="shared" si="1"/>
        <v>1.7636011354838722E-4</v>
      </c>
      <c r="J24" s="75">
        <f t="shared" si="2"/>
        <v>1.4696676129032268E-5</v>
      </c>
      <c r="K24" s="2"/>
    </row>
    <row r="25" spans="1:11" x14ac:dyDescent="0.45">
      <c r="A25" s="2"/>
      <c r="B25" s="2" t="s">
        <v>32</v>
      </c>
      <c r="C25" s="75">
        <f>AUM!I25</f>
        <v>1.978356164383562E-3</v>
      </c>
      <c r="D25" s="2" t="s">
        <v>35</v>
      </c>
      <c r="E25" s="2" t="s">
        <v>35</v>
      </c>
      <c r="F25" s="2" t="s">
        <v>35</v>
      </c>
      <c r="G25" s="19">
        <f t="shared" si="5"/>
        <v>0.45</v>
      </c>
      <c r="H25" s="2" t="s">
        <v>35</v>
      </c>
      <c r="I25" s="2" t="s">
        <v>35</v>
      </c>
      <c r="J25" s="2" t="s">
        <v>35</v>
      </c>
      <c r="K25" s="2"/>
    </row>
    <row r="26" spans="1:11" x14ac:dyDescent="0.45">
      <c r="A26" s="2"/>
      <c r="B26" s="2" t="s">
        <v>34</v>
      </c>
      <c r="C26" s="75">
        <f>AUM!I26</f>
        <v>1.978356164383562E-3</v>
      </c>
      <c r="D26" s="2" t="s">
        <v>35</v>
      </c>
      <c r="E26" s="2" t="s">
        <v>35</v>
      </c>
      <c r="F26" s="2" t="s">
        <v>35</v>
      </c>
      <c r="G26" s="19">
        <f t="shared" si="5"/>
        <v>0.45</v>
      </c>
      <c r="H26" s="2" t="s">
        <v>35</v>
      </c>
      <c r="I26" s="2" t="s">
        <v>35</v>
      </c>
      <c r="J26" s="2" t="s">
        <v>35</v>
      </c>
      <c r="K26" s="2"/>
    </row>
    <row r="27" spans="1:11" s="7" customFormat="1" x14ac:dyDescent="0.45">
      <c r="A27" s="6" t="s">
        <v>15</v>
      </c>
      <c r="B27" s="8" t="s">
        <v>25</v>
      </c>
      <c r="C27" s="72">
        <f>AUM!I27</f>
        <v>0.59420649798734915</v>
      </c>
      <c r="D27" s="6">
        <v>12</v>
      </c>
      <c r="E27" s="73">
        <v>1E-3</v>
      </c>
      <c r="F27" s="73">
        <f t="shared" si="0"/>
        <v>1.2E-2</v>
      </c>
      <c r="G27" s="18">
        <f>Parameters!J15</f>
        <v>0.6</v>
      </c>
      <c r="H27" s="74">
        <f>F27*(1-G27*Parameters!$K$10)</f>
        <v>1.056E-2</v>
      </c>
      <c r="I27" s="72">
        <f t="shared" si="1"/>
        <v>6.2748206187464069E-3</v>
      </c>
      <c r="J27" s="72">
        <f t="shared" si="2"/>
        <v>5.2290171822886721E-4</v>
      </c>
      <c r="K27" s="6"/>
    </row>
    <row r="28" spans="1:11" x14ac:dyDescent="0.45">
      <c r="A28" s="2"/>
      <c r="B28" s="5" t="s">
        <v>27</v>
      </c>
      <c r="C28" s="75">
        <f>AUM!I28</f>
        <v>0.24940179984484098</v>
      </c>
      <c r="D28" s="2">
        <v>26</v>
      </c>
      <c r="E28" s="76">
        <v>1E-3</v>
      </c>
      <c r="F28" s="76">
        <f t="shared" si="0"/>
        <v>2.6000000000000002E-2</v>
      </c>
      <c r="G28" s="19">
        <f>G27</f>
        <v>0.6</v>
      </c>
      <c r="H28" s="77">
        <f>F28*(1-G28*Parameters!$K$10)</f>
        <v>2.2880000000000001E-2</v>
      </c>
      <c r="I28" s="75">
        <f t="shared" si="1"/>
        <v>5.7063131804499616E-3</v>
      </c>
      <c r="J28" s="75">
        <f t="shared" si="2"/>
        <v>4.7552609837083013E-4</v>
      </c>
      <c r="K28" s="2"/>
    </row>
    <row r="29" spans="1:11" x14ac:dyDescent="0.45">
      <c r="A29" s="2"/>
      <c r="B29" s="5" t="s">
        <v>29</v>
      </c>
      <c r="C29" s="75">
        <f>AUM!I29</f>
        <v>8.7145275142315026E-3</v>
      </c>
      <c r="D29" s="2">
        <v>26</v>
      </c>
      <c r="E29" s="76">
        <v>1E-3</v>
      </c>
      <c r="F29" s="76">
        <f t="shared" si="0"/>
        <v>2.6000000000000002E-2</v>
      </c>
      <c r="G29" s="19">
        <f t="shared" ref="G29:G31" si="6">G28</f>
        <v>0.6</v>
      </c>
      <c r="H29" s="77">
        <f>F29*(1-G29*Parameters!$K$10)</f>
        <v>2.2880000000000001E-2</v>
      </c>
      <c r="I29" s="75">
        <f t="shared" si="1"/>
        <v>1.9938838952561678E-4</v>
      </c>
      <c r="J29" s="75">
        <f t="shared" si="2"/>
        <v>1.6615699127134731E-5</v>
      </c>
      <c r="K29" s="2"/>
    </row>
    <row r="30" spans="1:11" x14ac:dyDescent="0.45">
      <c r="A30" s="2"/>
      <c r="B30" s="5" t="s">
        <v>31</v>
      </c>
      <c r="C30" s="75">
        <f>AUM!I30</f>
        <v>9.4961095890410969E-4</v>
      </c>
      <c r="D30" s="2" t="s">
        <v>35</v>
      </c>
      <c r="E30" s="2" t="s">
        <v>35</v>
      </c>
      <c r="F30" s="2" t="s">
        <v>35</v>
      </c>
      <c r="G30" s="19">
        <f t="shared" si="6"/>
        <v>0.6</v>
      </c>
      <c r="H30" s="2" t="s">
        <v>35</v>
      </c>
      <c r="I30" s="2" t="s">
        <v>35</v>
      </c>
      <c r="J30" s="2" t="s">
        <v>35</v>
      </c>
      <c r="K30" s="2"/>
    </row>
    <row r="31" spans="1:11" x14ac:dyDescent="0.45">
      <c r="A31" s="2"/>
      <c r="B31" s="5" t="s">
        <v>33</v>
      </c>
      <c r="C31" s="75">
        <f>AUM!I31</f>
        <v>1.6618191780821921E-3</v>
      </c>
      <c r="D31" s="2" t="s">
        <v>35</v>
      </c>
      <c r="E31" s="2" t="s">
        <v>35</v>
      </c>
      <c r="F31" s="2" t="s">
        <v>35</v>
      </c>
      <c r="G31" s="19">
        <f t="shared" si="6"/>
        <v>0.6</v>
      </c>
      <c r="H31" s="2" t="s">
        <v>35</v>
      </c>
      <c r="I31" s="2" t="s">
        <v>35</v>
      </c>
      <c r="J31" s="2" t="s">
        <v>35</v>
      </c>
      <c r="K31" s="2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385C-6965-D043-8655-63C99151D70E}">
  <dimension ref="A1:K31"/>
  <sheetViews>
    <sheetView workbookViewId="0">
      <selection activeCell="I9" sqref="I9"/>
    </sheetView>
  </sheetViews>
  <sheetFormatPr defaultColWidth="11.07421875" defaultRowHeight="17.5" x14ac:dyDescent="0.45"/>
  <cols>
    <col min="4" max="4" width="10.69140625" style="2"/>
    <col min="5" max="5" width="16.53515625" customWidth="1"/>
    <col min="7" max="7" width="13.15234375" customWidth="1"/>
    <col min="8" max="8" width="17.53515625" customWidth="1"/>
    <col min="11" max="11" width="16.15234375" customWidth="1"/>
  </cols>
  <sheetData>
    <row r="1" spans="1:11" s="1" customFormat="1" x14ac:dyDescent="0.45">
      <c r="A1" s="44" t="s">
        <v>97</v>
      </c>
      <c r="B1" s="44" t="s">
        <v>98</v>
      </c>
      <c r="C1" s="45" t="s">
        <v>101</v>
      </c>
      <c r="D1" s="3"/>
      <c r="E1" s="46" t="s">
        <v>107</v>
      </c>
      <c r="F1" s="44" t="s">
        <v>103</v>
      </c>
      <c r="G1" s="44" t="s">
        <v>104</v>
      </c>
      <c r="H1" s="44" t="s">
        <v>157</v>
      </c>
      <c r="J1" s="1" t="s">
        <v>0</v>
      </c>
      <c r="K1" s="1" t="s">
        <v>159</v>
      </c>
    </row>
    <row r="2" spans="1:11" s="7" customFormat="1" x14ac:dyDescent="0.45">
      <c r="A2" s="40" t="s">
        <v>108</v>
      </c>
      <c r="B2" s="8" t="s">
        <v>25</v>
      </c>
      <c r="C2" s="49">
        <f>AUM!I2</f>
        <v>5.7073078199838785E-3</v>
      </c>
      <c r="D2" s="50">
        <v>7.0000000000000001E-3</v>
      </c>
      <c r="E2" s="51">
        <v>0</v>
      </c>
      <c r="F2" s="52">
        <f>D2*(1-E2*Parameters!$K$10)</f>
        <v>7.0000000000000001E-3</v>
      </c>
      <c r="G2" s="53">
        <f>F2*C2</f>
        <v>3.9951154739887147E-5</v>
      </c>
      <c r="H2" s="53">
        <f>G2/12</f>
        <v>3.3292628949905956E-6</v>
      </c>
      <c r="J2" s="6" t="s">
        <v>10</v>
      </c>
      <c r="K2" s="72">
        <f>SUM(H2:H6)</f>
        <v>8.9645346056451845E-6</v>
      </c>
    </row>
    <row r="3" spans="1:11" x14ac:dyDescent="0.45">
      <c r="A3" s="5"/>
      <c r="B3" s="5" t="s">
        <v>27</v>
      </c>
      <c r="C3" s="41">
        <f>AUM!I3</f>
        <v>7.17201513661691E-3</v>
      </c>
      <c r="D3" s="47">
        <v>8.5000000000000006E-3</v>
      </c>
      <c r="E3" s="42">
        <v>0</v>
      </c>
      <c r="F3" s="43">
        <f>D3*(1-E3*Parameters!$K$10)</f>
        <v>8.5000000000000006E-3</v>
      </c>
      <c r="G3" s="48">
        <f t="shared" ref="G3:G31" si="0">F3*C3</f>
        <v>6.0962128661243738E-5</v>
      </c>
      <c r="H3" s="48">
        <f t="shared" ref="H3:H31" si="1">G3/12</f>
        <v>5.0801773884369782E-6</v>
      </c>
      <c r="J3" s="2" t="s">
        <v>11</v>
      </c>
      <c r="K3" s="75">
        <f>SUM(H7:H11)</f>
        <v>5.1500147960658209E-5</v>
      </c>
    </row>
    <row r="4" spans="1:11" x14ac:dyDescent="0.45">
      <c r="A4" s="5"/>
      <c r="B4" s="5" t="s">
        <v>29</v>
      </c>
      <c r="C4" s="41">
        <f>AUM!I4</f>
        <v>0</v>
      </c>
      <c r="D4" s="47">
        <v>0.01</v>
      </c>
      <c r="E4" s="42">
        <v>0</v>
      </c>
      <c r="F4" s="43">
        <f>D4*(1-E4*Parameters!$K$10)</f>
        <v>0.01</v>
      </c>
      <c r="G4" s="48">
        <f t="shared" si="0"/>
        <v>0</v>
      </c>
      <c r="H4" s="48">
        <f t="shared" si="1"/>
        <v>0</v>
      </c>
      <c r="J4" s="2" t="s">
        <v>12</v>
      </c>
      <c r="K4" s="75">
        <f>SUM(H12:H16)</f>
        <v>1.6612354151658641E-4</v>
      </c>
    </row>
    <row r="5" spans="1:11" x14ac:dyDescent="0.45">
      <c r="A5" s="5"/>
      <c r="B5" s="5" t="s">
        <v>31</v>
      </c>
      <c r="C5" s="41">
        <f>AUM!I5</f>
        <v>3.8856602555232698E-4</v>
      </c>
      <c r="D5" s="47">
        <v>0.01</v>
      </c>
      <c r="E5" s="42">
        <v>0</v>
      </c>
      <c r="F5" s="43">
        <f>D5*(1-E5*Parameters!$K$10)</f>
        <v>0.01</v>
      </c>
      <c r="G5" s="48">
        <f t="shared" si="0"/>
        <v>3.8856602555232701E-6</v>
      </c>
      <c r="H5" s="48">
        <f t="shared" si="1"/>
        <v>3.2380502129360584E-7</v>
      </c>
      <c r="J5" s="2" t="s">
        <v>13</v>
      </c>
      <c r="K5" s="75">
        <f>SUM(H17:H21)</f>
        <v>2.9109574263585223E-4</v>
      </c>
    </row>
    <row r="6" spans="1:11" x14ac:dyDescent="0.45">
      <c r="A6" s="5"/>
      <c r="B6" s="5" t="s">
        <v>33</v>
      </c>
      <c r="C6" s="41">
        <f>AUM!I6</f>
        <v>5.5509432221761002E-4</v>
      </c>
      <c r="D6" s="47">
        <v>5.0000000000000001E-3</v>
      </c>
      <c r="E6" s="42">
        <v>0</v>
      </c>
      <c r="F6" s="43">
        <f>D6*(1-E6*Parameters!$K$10)</f>
        <v>5.0000000000000001E-3</v>
      </c>
      <c r="G6" s="48">
        <f t="shared" si="0"/>
        <v>2.7754716110880503E-6</v>
      </c>
      <c r="H6" s="48">
        <f t="shared" si="1"/>
        <v>2.3128930092400418E-7</v>
      </c>
      <c r="J6" s="2" t="s">
        <v>14</v>
      </c>
      <c r="K6" s="75">
        <f>SUM(H22:H26)</f>
        <v>4.1903709620984329E-4</v>
      </c>
    </row>
    <row r="7" spans="1:11" s="7" customFormat="1" x14ac:dyDescent="0.45">
      <c r="A7" s="8" t="s">
        <v>109</v>
      </c>
      <c r="B7" s="8" t="s">
        <v>25</v>
      </c>
      <c r="C7" s="49">
        <f>AUM!I7</f>
        <v>4.5658462559871028E-2</v>
      </c>
      <c r="D7" s="50">
        <v>7.0000000000000001E-3</v>
      </c>
      <c r="E7" s="51">
        <v>0.15</v>
      </c>
      <c r="F7" s="52">
        <f>D7*(1-E7*Parameters!$K$10)</f>
        <v>6.79E-3</v>
      </c>
      <c r="G7" s="53">
        <f t="shared" si="0"/>
        <v>3.1002096078152426E-4</v>
      </c>
      <c r="H7" s="53">
        <f t="shared" si="1"/>
        <v>2.5835080065127023E-5</v>
      </c>
      <c r="J7" s="6" t="s">
        <v>15</v>
      </c>
      <c r="K7" s="72">
        <f>SUM(H27:H31)</f>
        <v>4.6818282611571971E-4</v>
      </c>
    </row>
    <row r="8" spans="1:11" x14ac:dyDescent="0.45">
      <c r="A8" s="5"/>
      <c r="B8" s="5" t="s">
        <v>27</v>
      </c>
      <c r="C8" s="41">
        <f>AUM!I8</f>
        <v>3.5860075683084545E-2</v>
      </c>
      <c r="D8" s="47">
        <v>8.5000000000000006E-3</v>
      </c>
      <c r="E8" s="42">
        <v>0.15</v>
      </c>
      <c r="F8" s="43">
        <f>D8*(1-E8*Parameters!$K$10)</f>
        <v>8.2450000000000006E-3</v>
      </c>
      <c r="G8" s="48">
        <f t="shared" si="0"/>
        <v>2.9566632400703207E-4</v>
      </c>
      <c r="H8" s="48">
        <f t="shared" si="1"/>
        <v>2.463886033391934E-5</v>
      </c>
    </row>
    <row r="9" spans="1:11" x14ac:dyDescent="0.45">
      <c r="A9" s="5"/>
      <c r="B9" s="5" t="s">
        <v>29</v>
      </c>
      <c r="C9" s="41">
        <f>AUM!I9</f>
        <v>4.368936444408144E-4</v>
      </c>
      <c r="D9" s="47">
        <v>0.01</v>
      </c>
      <c r="E9" s="42">
        <v>0.15</v>
      </c>
      <c r="F9" s="43">
        <f>D9*(1-E9*Parameters!$K$10)</f>
        <v>9.7000000000000003E-3</v>
      </c>
      <c r="G9" s="48">
        <f t="shared" si="0"/>
        <v>4.2378683510758998E-6</v>
      </c>
      <c r="H9" s="48">
        <f t="shared" si="1"/>
        <v>3.5315569592299165E-7</v>
      </c>
    </row>
    <row r="10" spans="1:11" x14ac:dyDescent="0.45">
      <c r="A10" s="5"/>
      <c r="B10" s="5" t="s">
        <v>31</v>
      </c>
      <c r="C10" s="41">
        <f>AUM!I10</f>
        <v>5.5509432221761002E-4</v>
      </c>
      <c r="D10" s="47">
        <v>0.01</v>
      </c>
      <c r="E10" s="42">
        <v>0.15</v>
      </c>
      <c r="F10" s="43">
        <f>D10*(1-E10*Parameters!$K$10)</f>
        <v>9.7000000000000003E-3</v>
      </c>
      <c r="G10" s="48">
        <f t="shared" si="0"/>
        <v>5.3844149255108171E-6</v>
      </c>
      <c r="H10" s="48">
        <f t="shared" si="1"/>
        <v>4.4870124379256809E-7</v>
      </c>
    </row>
    <row r="11" spans="1:11" x14ac:dyDescent="0.45">
      <c r="A11" s="5"/>
      <c r="B11" s="5" t="s">
        <v>33</v>
      </c>
      <c r="C11" s="41">
        <f>AUM!I11</f>
        <v>5.5509432221761002E-4</v>
      </c>
      <c r="D11" s="47">
        <v>5.0000000000000001E-3</v>
      </c>
      <c r="E11" s="42">
        <v>0.15</v>
      </c>
      <c r="F11" s="43">
        <f>D11*(1-E11*Parameters!$K$10)</f>
        <v>4.8500000000000001E-3</v>
      </c>
      <c r="G11" s="48">
        <f t="shared" si="0"/>
        <v>2.6922074627554085E-6</v>
      </c>
      <c r="H11" s="48">
        <f t="shared" si="1"/>
        <v>2.2435062189628405E-7</v>
      </c>
    </row>
    <row r="12" spans="1:11" s="7" customFormat="1" x14ac:dyDescent="0.45">
      <c r="A12" s="8" t="s">
        <v>110</v>
      </c>
      <c r="B12" s="8" t="s">
        <v>25</v>
      </c>
      <c r="C12" s="49">
        <f>AUM!I12</f>
        <v>0.16751659277173186</v>
      </c>
      <c r="D12" s="50">
        <v>7.0000000000000001E-3</v>
      </c>
      <c r="E12" s="51">
        <v>0.25</v>
      </c>
      <c r="F12" s="52">
        <f>D12*(1-E12*Parameters!$K$10)</f>
        <v>6.6499999999999997E-3</v>
      </c>
      <c r="G12" s="53">
        <f t="shared" si="0"/>
        <v>1.1139853419320168E-3</v>
      </c>
      <c r="H12" s="53">
        <f t="shared" si="1"/>
        <v>9.2832111827668065E-5</v>
      </c>
    </row>
    <row r="13" spans="1:11" x14ac:dyDescent="0.45">
      <c r="A13" s="5"/>
      <c r="B13" s="5" t="s">
        <v>27</v>
      </c>
      <c r="C13" s="41">
        <f>AUM!I13</f>
        <v>0.10408431421654565</v>
      </c>
      <c r="D13" s="47">
        <v>8.5000000000000006E-3</v>
      </c>
      <c r="E13" s="42">
        <v>0.25</v>
      </c>
      <c r="F13" s="43">
        <f>D13*(1-E13*Parameters!$K$10)</f>
        <v>8.0750000000000006E-3</v>
      </c>
      <c r="G13" s="48">
        <f t="shared" si="0"/>
        <v>8.4048083729860621E-4</v>
      </c>
      <c r="H13" s="48">
        <f t="shared" si="1"/>
        <v>7.0040069774883855E-5</v>
      </c>
    </row>
    <row r="14" spans="1:11" x14ac:dyDescent="0.45">
      <c r="A14" s="5"/>
      <c r="B14" s="5" t="s">
        <v>29</v>
      </c>
      <c r="C14" s="41">
        <f>AUM!I14</f>
        <v>2.1286247796600049E-3</v>
      </c>
      <c r="D14" s="47">
        <v>0.01</v>
      </c>
      <c r="E14" s="42">
        <v>0.25</v>
      </c>
      <c r="F14" s="43">
        <f>D14*(1-E14*Parameters!$K$10)</f>
        <v>9.4999999999999998E-3</v>
      </c>
      <c r="G14" s="48">
        <f t="shared" si="0"/>
        <v>2.0221935406770045E-5</v>
      </c>
      <c r="H14" s="48">
        <f t="shared" si="1"/>
        <v>1.6851612838975039E-6</v>
      </c>
    </row>
    <row r="15" spans="1:11" x14ac:dyDescent="0.45">
      <c r="A15" s="5"/>
      <c r="B15" s="5" t="s">
        <v>31</v>
      </c>
      <c r="C15" s="41">
        <f>AUM!I15</f>
        <v>1.3189041095890415E-3</v>
      </c>
      <c r="D15" s="47">
        <v>0.01</v>
      </c>
      <c r="E15" s="42">
        <v>0.25</v>
      </c>
      <c r="F15" s="43">
        <f>D15*(1-E15*Parameters!$K$10)</f>
        <v>9.4999999999999998E-3</v>
      </c>
      <c r="G15" s="48">
        <f t="shared" si="0"/>
        <v>1.2529589041095893E-5</v>
      </c>
      <c r="H15" s="48">
        <f t="shared" si="1"/>
        <v>1.0441324200913245E-6</v>
      </c>
    </row>
    <row r="16" spans="1:11" x14ac:dyDescent="0.45">
      <c r="A16" s="5"/>
      <c r="B16" s="5" t="s">
        <v>33</v>
      </c>
      <c r="C16" s="41">
        <f>AUM!I16</f>
        <v>1.3189041095890415E-3</v>
      </c>
      <c r="D16" s="47">
        <v>5.0000000000000001E-3</v>
      </c>
      <c r="E16" s="42">
        <v>0.25</v>
      </c>
      <c r="F16" s="43">
        <f>D16*(1-E16*Parameters!$K$10)</f>
        <v>4.7499999999999999E-3</v>
      </c>
      <c r="G16" s="48">
        <f t="shared" si="0"/>
        <v>6.2647945205479466E-6</v>
      </c>
      <c r="H16" s="48">
        <f t="shared" si="1"/>
        <v>5.2206621004566225E-7</v>
      </c>
    </row>
    <row r="17" spans="1:8" s="7" customFormat="1" x14ac:dyDescent="0.45">
      <c r="A17" s="8" t="s">
        <v>111</v>
      </c>
      <c r="B17" s="8" t="s">
        <v>25</v>
      </c>
      <c r="C17" s="49">
        <f>AUM!I17</f>
        <v>0.32621733102253048</v>
      </c>
      <c r="D17" s="50">
        <v>7.0000000000000001E-3</v>
      </c>
      <c r="E17" s="51">
        <v>0.35</v>
      </c>
      <c r="F17" s="52">
        <f>D17*(1-E17*Parameters!$K$10)</f>
        <v>6.5100000000000002E-3</v>
      </c>
      <c r="G17" s="53">
        <f t="shared" si="0"/>
        <v>2.1236748249566736E-3</v>
      </c>
      <c r="H17" s="53">
        <f t="shared" si="1"/>
        <v>1.7697290207972281E-4</v>
      </c>
    </row>
    <row r="18" spans="1:8" x14ac:dyDescent="0.45">
      <c r="A18" s="5"/>
      <c r="B18" s="5" t="s">
        <v>27</v>
      </c>
      <c r="C18" s="41">
        <f>AUM!I18</f>
        <v>0.16472986184909674</v>
      </c>
      <c r="D18" s="47">
        <v>8.5000000000000006E-3</v>
      </c>
      <c r="E18" s="42">
        <v>0.35</v>
      </c>
      <c r="F18" s="43">
        <f>D18*(1-E18*Parameters!$K$10)</f>
        <v>7.9050000000000006E-3</v>
      </c>
      <c r="G18" s="48">
        <f t="shared" si="0"/>
        <v>1.3021895579171099E-3</v>
      </c>
      <c r="H18" s="48">
        <f t="shared" si="1"/>
        <v>1.085157964930925E-4</v>
      </c>
    </row>
    <row r="19" spans="1:8" x14ac:dyDescent="0.45">
      <c r="A19" s="5"/>
      <c r="B19" s="5" t="s">
        <v>29</v>
      </c>
      <c r="C19" s="41">
        <f>AUM!I19</f>
        <v>4.4651969350719203E-3</v>
      </c>
      <c r="D19" s="47">
        <v>0.01</v>
      </c>
      <c r="E19" s="42">
        <v>0.35</v>
      </c>
      <c r="F19" s="43">
        <f>D19*(1-E19*Parameters!$K$10)</f>
        <v>9.300000000000001E-3</v>
      </c>
      <c r="G19" s="48">
        <f t="shared" si="0"/>
        <v>4.1526331496168862E-5</v>
      </c>
      <c r="H19" s="48">
        <f t="shared" si="1"/>
        <v>3.4605276246807383E-6</v>
      </c>
    </row>
    <row r="20" spans="1:8" x14ac:dyDescent="0.45">
      <c r="A20" s="5"/>
      <c r="B20" s="5" t="s">
        <v>31</v>
      </c>
      <c r="C20" s="41">
        <f>AUM!I20</f>
        <v>1.8464657534246582E-3</v>
      </c>
      <c r="D20" s="47">
        <v>0.01</v>
      </c>
      <c r="E20" s="42">
        <v>0.35</v>
      </c>
      <c r="F20" s="43">
        <f>D20*(1-E20*Parameters!$K$10)</f>
        <v>9.300000000000001E-3</v>
      </c>
      <c r="G20" s="48">
        <f t="shared" si="0"/>
        <v>1.7172131506849323E-5</v>
      </c>
      <c r="H20" s="48">
        <f t="shared" si="1"/>
        <v>1.4310109589041101E-6</v>
      </c>
    </row>
    <row r="21" spans="1:8" x14ac:dyDescent="0.45">
      <c r="A21" s="5"/>
      <c r="B21" s="5" t="s">
        <v>33</v>
      </c>
      <c r="C21" s="41">
        <f>AUM!I21</f>
        <v>1.8464657534246582E-3</v>
      </c>
      <c r="D21" s="47">
        <v>5.0000000000000001E-3</v>
      </c>
      <c r="E21" s="42">
        <v>0.35</v>
      </c>
      <c r="F21" s="43">
        <f>D21*(1-E21*Parameters!$K$10)</f>
        <v>4.6500000000000005E-3</v>
      </c>
      <c r="G21" s="48">
        <f t="shared" si="0"/>
        <v>8.5860657534246613E-6</v>
      </c>
      <c r="H21" s="48">
        <f t="shared" si="1"/>
        <v>7.1550547945205507E-7</v>
      </c>
    </row>
    <row r="22" spans="1:8" s="7" customFormat="1" x14ac:dyDescent="0.45">
      <c r="A22" s="8" t="s">
        <v>112</v>
      </c>
      <c r="B22" s="8" t="s">
        <v>25</v>
      </c>
      <c r="C22" s="49">
        <f>AUM!I22</f>
        <v>0.51122123893805338</v>
      </c>
      <c r="D22" s="50">
        <v>7.0000000000000001E-3</v>
      </c>
      <c r="E22" s="51">
        <v>0.45</v>
      </c>
      <c r="F22" s="52">
        <f>D22*(1-E22*Parameters!$K$10)</f>
        <v>6.3700000000000007E-3</v>
      </c>
      <c r="G22" s="53">
        <f t="shared" si="0"/>
        <v>3.2564792920354003E-3</v>
      </c>
      <c r="H22" s="53">
        <f t="shared" si="1"/>
        <v>2.7137327433628334E-4</v>
      </c>
    </row>
    <row r="23" spans="1:8" x14ac:dyDescent="0.45">
      <c r="A23" s="5"/>
      <c r="B23" s="5" t="s">
        <v>27</v>
      </c>
      <c r="C23" s="41">
        <f>AUM!I23</f>
        <v>0.21682359249329769</v>
      </c>
      <c r="D23" s="47">
        <v>8.5000000000000006E-3</v>
      </c>
      <c r="E23" s="42">
        <v>0.45</v>
      </c>
      <c r="F23" s="43">
        <f>D23*(1-E23*Parameters!$K$10)</f>
        <v>7.7350000000000006E-3</v>
      </c>
      <c r="G23" s="48">
        <f t="shared" si="0"/>
        <v>1.6771304879356578E-3</v>
      </c>
      <c r="H23" s="48">
        <f t="shared" si="1"/>
        <v>1.3976087399463814E-4</v>
      </c>
    </row>
    <row r="24" spans="1:8" x14ac:dyDescent="0.45">
      <c r="A24" s="5"/>
      <c r="B24" s="5" t="s">
        <v>29</v>
      </c>
      <c r="C24" s="41">
        <f>AUM!I24</f>
        <v>7.4539354838709711E-3</v>
      </c>
      <c r="D24" s="47">
        <v>0.01</v>
      </c>
      <c r="E24" s="42">
        <v>0.45</v>
      </c>
      <c r="F24" s="43">
        <f>D24*(1-E24*Parameters!$K$10)</f>
        <v>9.1000000000000004E-3</v>
      </c>
      <c r="G24" s="48">
        <f t="shared" si="0"/>
        <v>6.7830812903225845E-5</v>
      </c>
      <c r="H24" s="48">
        <f t="shared" si="1"/>
        <v>5.6525677419354874E-6</v>
      </c>
    </row>
    <row r="25" spans="1:8" x14ac:dyDescent="0.45">
      <c r="A25" s="5"/>
      <c r="B25" s="5" t="s">
        <v>31</v>
      </c>
      <c r="C25" s="41">
        <f>AUM!I25</f>
        <v>1.978356164383562E-3</v>
      </c>
      <c r="D25" s="47">
        <v>0.01</v>
      </c>
      <c r="E25" s="42">
        <v>0.45</v>
      </c>
      <c r="F25" s="43">
        <f>D25*(1-E25*Parameters!$K$10)</f>
        <v>9.1000000000000004E-3</v>
      </c>
      <c r="G25" s="48">
        <f t="shared" si="0"/>
        <v>1.8003041095890414E-5</v>
      </c>
      <c r="H25" s="48">
        <f t="shared" si="1"/>
        <v>1.5002534246575344E-6</v>
      </c>
    </row>
    <row r="26" spans="1:8" x14ac:dyDescent="0.45">
      <c r="A26" s="5"/>
      <c r="B26" s="5" t="s">
        <v>33</v>
      </c>
      <c r="C26" s="41">
        <f>AUM!I26</f>
        <v>1.978356164383562E-3</v>
      </c>
      <c r="D26" s="47">
        <v>5.0000000000000001E-3</v>
      </c>
      <c r="E26" s="42">
        <v>0.45</v>
      </c>
      <c r="F26" s="43">
        <f>D26*(1-E26*Parameters!$K$10)</f>
        <v>4.5500000000000002E-3</v>
      </c>
      <c r="G26" s="48">
        <f t="shared" si="0"/>
        <v>9.0015205479452068E-6</v>
      </c>
      <c r="H26" s="48">
        <f t="shared" si="1"/>
        <v>7.501267123287672E-7</v>
      </c>
    </row>
    <row r="27" spans="1:8" s="7" customFormat="1" x14ac:dyDescent="0.45">
      <c r="A27" s="8" t="s">
        <v>113</v>
      </c>
      <c r="B27" s="8" t="s">
        <v>25</v>
      </c>
      <c r="C27" s="49">
        <f>AUM!I27</f>
        <v>0.59420649798734915</v>
      </c>
      <c r="D27" s="50">
        <v>7.0000000000000001E-3</v>
      </c>
      <c r="E27" s="51">
        <v>0.6</v>
      </c>
      <c r="F27" s="52">
        <f>D27*(1-E27*Parameters!$K$10)</f>
        <v>6.1600000000000005E-3</v>
      </c>
      <c r="G27" s="53">
        <f t="shared" si="0"/>
        <v>3.660312027602071E-3</v>
      </c>
      <c r="H27" s="53">
        <f t="shared" si="1"/>
        <v>3.050260023001726E-4</v>
      </c>
    </row>
    <row r="28" spans="1:8" x14ac:dyDescent="0.45">
      <c r="A28" s="5"/>
      <c r="B28" s="5" t="s">
        <v>27</v>
      </c>
      <c r="C28" s="41">
        <f>AUM!I28</f>
        <v>0.24940179984484098</v>
      </c>
      <c r="D28" s="47">
        <v>8.5000000000000006E-3</v>
      </c>
      <c r="E28" s="42">
        <v>0.6</v>
      </c>
      <c r="F28" s="43">
        <f>D28*(1-E28*Parameters!$K$10)</f>
        <v>7.4800000000000005E-3</v>
      </c>
      <c r="G28" s="48">
        <f t="shared" si="0"/>
        <v>1.8655254628394107E-3</v>
      </c>
      <c r="H28" s="48">
        <f t="shared" si="1"/>
        <v>1.5546045523661756E-4</v>
      </c>
    </row>
    <row r="29" spans="1:8" x14ac:dyDescent="0.45">
      <c r="A29" s="5"/>
      <c r="B29" s="5" t="s">
        <v>29</v>
      </c>
      <c r="C29" s="41">
        <f>AUM!I29</f>
        <v>8.7145275142315026E-3</v>
      </c>
      <c r="D29" s="47">
        <v>0.01</v>
      </c>
      <c r="E29" s="42">
        <v>0.6</v>
      </c>
      <c r="F29" s="43">
        <f>D29*(1-E29*Parameters!$K$10)</f>
        <v>8.8000000000000005E-3</v>
      </c>
      <c r="G29" s="48">
        <f t="shared" si="0"/>
        <v>7.6687842125237226E-5</v>
      </c>
      <c r="H29" s="48">
        <f t="shared" si="1"/>
        <v>6.3906535104364352E-6</v>
      </c>
    </row>
    <row r="30" spans="1:8" x14ac:dyDescent="0.45">
      <c r="A30" s="5"/>
      <c r="B30" s="5" t="s">
        <v>31</v>
      </c>
      <c r="C30" s="41">
        <f>AUM!I30</f>
        <v>9.4961095890410969E-4</v>
      </c>
      <c r="D30" s="47">
        <v>0.01</v>
      </c>
      <c r="E30" s="42">
        <v>0.6</v>
      </c>
      <c r="F30" s="43">
        <f>D30*(1-E30*Parameters!$K$10)</f>
        <v>8.8000000000000005E-3</v>
      </c>
      <c r="G30" s="48">
        <f t="shared" si="0"/>
        <v>8.3565764383561655E-6</v>
      </c>
      <c r="H30" s="48">
        <f t="shared" si="1"/>
        <v>6.9638136986301379E-7</v>
      </c>
    </row>
    <row r="31" spans="1:8" x14ac:dyDescent="0.45">
      <c r="A31" s="5"/>
      <c r="B31" s="5" t="s">
        <v>33</v>
      </c>
      <c r="C31" s="41">
        <f>AUM!I31</f>
        <v>1.6618191780821921E-3</v>
      </c>
      <c r="D31" s="47">
        <v>5.0000000000000001E-3</v>
      </c>
      <c r="E31" s="42">
        <v>0.6</v>
      </c>
      <c r="F31" s="43">
        <f>D31*(1-E31*Parameters!$K$10)</f>
        <v>4.4000000000000003E-3</v>
      </c>
      <c r="G31" s="48">
        <f t="shared" si="0"/>
        <v>7.3120043835616455E-6</v>
      </c>
      <c r="H31" s="48">
        <f t="shared" si="1"/>
        <v>6.0933369863013712E-7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CDDDF-1D6A-A048-BB3E-07F4D184A7F2}">
  <dimension ref="A1:Q9"/>
  <sheetViews>
    <sheetView workbookViewId="0">
      <pane xSplit="1" topLeftCell="I1" activePane="topRight" state="frozen"/>
      <selection pane="topRight" activeCell="P7" sqref="P7"/>
    </sheetView>
  </sheetViews>
  <sheetFormatPr defaultColWidth="11.07421875" defaultRowHeight="17.5" x14ac:dyDescent="0.45"/>
  <cols>
    <col min="7" max="7" width="13.69140625" customWidth="1"/>
    <col min="8" max="8" width="14.3828125" customWidth="1"/>
    <col min="10" max="13" width="13.15234375" customWidth="1"/>
    <col min="14" max="14" width="13" customWidth="1"/>
    <col min="15" max="15" width="13.3828125" customWidth="1"/>
    <col min="16" max="16" width="19.3046875" customWidth="1"/>
    <col min="17" max="17" width="20.69140625" customWidth="1"/>
  </cols>
  <sheetData>
    <row r="1" spans="1:17" s="68" customFormat="1" x14ac:dyDescent="0.45">
      <c r="A1" s="68" t="s">
        <v>0</v>
      </c>
      <c r="B1" s="68" t="s">
        <v>115</v>
      </c>
      <c r="C1" s="68" t="s">
        <v>116</v>
      </c>
      <c r="D1" s="68" t="s">
        <v>117</v>
      </c>
      <c r="E1" s="68" t="s">
        <v>118</v>
      </c>
      <c r="F1" s="68" t="s">
        <v>119</v>
      </c>
      <c r="G1" s="68" t="s">
        <v>120</v>
      </c>
      <c r="H1" s="68" t="s">
        <v>121</v>
      </c>
      <c r="I1" s="68" t="s">
        <v>122</v>
      </c>
      <c r="J1" s="68" t="s">
        <v>123</v>
      </c>
      <c r="K1" s="68" t="s">
        <v>135</v>
      </c>
      <c r="L1" s="68" t="s">
        <v>134</v>
      </c>
      <c r="M1" s="68" t="s">
        <v>132</v>
      </c>
      <c r="N1" s="68" t="s">
        <v>124</v>
      </c>
      <c r="O1" s="68" t="s">
        <v>125</v>
      </c>
      <c r="P1" s="68" t="s">
        <v>126</v>
      </c>
      <c r="Q1" s="68" t="s">
        <v>127</v>
      </c>
    </row>
    <row r="2" spans="1:17" x14ac:dyDescent="0.45">
      <c r="A2" t="s">
        <v>10</v>
      </c>
      <c r="B2" s="25">
        <v>0.7</v>
      </c>
      <c r="C2" s="25">
        <v>0.2</v>
      </c>
      <c r="D2" s="25">
        <v>0.08</v>
      </c>
      <c r="E2" s="25">
        <v>0.02</v>
      </c>
      <c r="F2" s="25">
        <v>0</v>
      </c>
      <c r="G2" s="55">
        <f>SUMPRODUCT(B2:F2,$B$9:$F$9)</f>
        <v>5.5899999999999995E-3</v>
      </c>
      <c r="H2" s="16">
        <v>0</v>
      </c>
      <c r="I2" s="58">
        <f>G2*(1-H2*Parameters!K10)</f>
        <v>5.5899999999999995E-3</v>
      </c>
      <c r="J2" s="33">
        <v>5.0000000000000001E-3</v>
      </c>
      <c r="K2" s="33">
        <f>0.002*(1-H2*Parameters!K10)</f>
        <v>2E-3</v>
      </c>
      <c r="L2" s="61">
        <f>'GMV(Layer)'!AF4</f>
        <v>0.20197202739094805</v>
      </c>
      <c r="M2" s="61">
        <f>'GMV(Layer)'!AH4</f>
        <v>0</v>
      </c>
      <c r="N2" s="34">
        <f>'GMV(Layer)'!AF4-'GMV(Layer)'!V5-M2</f>
        <v>0.13105872772764837</v>
      </c>
      <c r="O2" s="34">
        <f>'GMV(Layer)'!V5</f>
        <v>7.0913299663299678E-2</v>
      </c>
      <c r="P2" s="38">
        <f>N2*I2+O2*J2+M2*K2</f>
        <v>1.0871847863140527E-3</v>
      </c>
      <c r="Q2" s="37">
        <f>P2*12</f>
        <v>1.3046217435768632E-2</v>
      </c>
    </row>
    <row r="3" spans="1:17" x14ac:dyDescent="0.45">
      <c r="A3" t="s">
        <v>11</v>
      </c>
      <c r="B3" s="25">
        <v>0.55000000000000004</v>
      </c>
      <c r="C3" s="25">
        <v>0.25</v>
      </c>
      <c r="D3" s="25">
        <v>0.13</v>
      </c>
      <c r="E3" s="25">
        <v>0.05</v>
      </c>
      <c r="F3" s="25">
        <v>0.02</v>
      </c>
      <c r="G3" s="55">
        <f t="shared" ref="G3:G7" si="0">SUMPRODUCT(B3:F3,$B$9:$F$9)</f>
        <v>5.3049999999999998E-3</v>
      </c>
      <c r="H3" s="56">
        <v>0.15</v>
      </c>
      <c r="I3" s="58">
        <f>G3*(1-H3*Parameters!K11)</f>
        <v>5.1458499999999996E-3</v>
      </c>
      <c r="J3" s="33">
        <v>5.0000000000000001E-3</v>
      </c>
      <c r="K3" s="33">
        <f>0.002*(1-H3*Parameters!K11)</f>
        <v>1.9399999999999999E-3</v>
      </c>
      <c r="L3" s="61">
        <f>'GMV(Layer)'!AF5</f>
        <v>0.40085557439525682</v>
      </c>
      <c r="M3" s="62">
        <f>'GMV(Layer)'!AH5</f>
        <v>4.948690444265667E-4</v>
      </c>
      <c r="N3" s="34">
        <f>'GMV(Layer)'!AF5-'GMV(Layer)'!V10-M3</f>
        <v>0.2990559915461164</v>
      </c>
      <c r="O3" s="34">
        <f>'GMV(Layer)'!V10</f>
        <v>0.10130471380471383</v>
      </c>
      <c r="P3" s="38">
        <f t="shared" ref="P3:P7" si="1">N3*I3+O3*J3+M3*K3</f>
        <v>2.0463808890673393E-3</v>
      </c>
      <c r="Q3" s="37">
        <f t="shared" ref="Q3:Q7" si="2">P3*12</f>
        <v>2.4556570668808071E-2</v>
      </c>
    </row>
    <row r="4" spans="1:17" x14ac:dyDescent="0.45">
      <c r="A4" t="s">
        <v>12</v>
      </c>
      <c r="B4" s="25">
        <v>0.45</v>
      </c>
      <c r="C4" s="25">
        <v>0.25</v>
      </c>
      <c r="D4" s="25">
        <v>0.18</v>
      </c>
      <c r="E4" s="25">
        <v>0.08</v>
      </c>
      <c r="F4" s="25">
        <v>0.04</v>
      </c>
      <c r="G4" s="55">
        <f t="shared" si="0"/>
        <v>5.0700000000000007E-3</v>
      </c>
      <c r="H4" s="56">
        <v>0.25</v>
      </c>
      <c r="I4" s="58">
        <f>G4*(1-H4*Parameters!K12)</f>
        <v>4.8165000000000005E-3</v>
      </c>
      <c r="J4" s="33">
        <v>5.0000000000000001E-3</v>
      </c>
      <c r="K4" s="33">
        <f>0.002*(1-H4*Parameters!K12)</f>
        <v>1.9E-3</v>
      </c>
      <c r="L4" s="61">
        <f>'GMV(Layer)'!AF6</f>
        <v>1.3198446341243988</v>
      </c>
      <c r="M4" s="62">
        <f>'GMV(Layer)'!AH6</f>
        <v>2.9304291657066541E-3</v>
      </c>
      <c r="N4" s="34">
        <f>'GMV(Layer)'!AF6-'GMV(Layer)'!V15-M4</f>
        <v>1.076214204958692</v>
      </c>
      <c r="O4" s="34">
        <f>'GMV(Layer)'!V15</f>
        <v>0.24070000000000005</v>
      </c>
      <c r="P4" s="38">
        <f t="shared" si="1"/>
        <v>6.3926535335983841E-3</v>
      </c>
      <c r="Q4" s="37">
        <f t="shared" si="2"/>
        <v>7.6711842403180602E-2</v>
      </c>
    </row>
    <row r="5" spans="1:17" x14ac:dyDescent="0.45">
      <c r="A5" s="39" t="s">
        <v>13</v>
      </c>
      <c r="B5" s="25">
        <v>0.35</v>
      </c>
      <c r="C5" s="25">
        <v>0.25</v>
      </c>
      <c r="D5" s="25">
        <v>0.22</v>
      </c>
      <c r="E5" s="25">
        <v>0.1</v>
      </c>
      <c r="F5" s="25">
        <v>0.08</v>
      </c>
      <c r="G5" s="55">
        <f t="shared" si="0"/>
        <v>4.8199999999999988E-3</v>
      </c>
      <c r="H5" s="56">
        <v>0.35</v>
      </c>
      <c r="I5" s="58">
        <f>G5*(1-H5*Parameters!K13)</f>
        <v>4.4825999999999989E-3</v>
      </c>
      <c r="J5" s="33">
        <v>5.0000000000000001E-3</v>
      </c>
      <c r="K5" s="33">
        <f>0.002*(1-H5*Parameters!K13)</f>
        <v>1.8600000000000001E-3</v>
      </c>
      <c r="L5" s="61">
        <f>'GMV(Layer)'!AF7</f>
        <v>2.3735856354123475</v>
      </c>
      <c r="M5" s="62">
        <f>'GMV(Layer)'!AH7</f>
        <v>6.6004032667375161E-3</v>
      </c>
      <c r="N5" s="34">
        <f>'GMV(Layer)'!AF7-'GMV(Layer)'!V20-M5</f>
        <v>2.0300052321456099</v>
      </c>
      <c r="O5" s="34">
        <f>'GMV(Layer)'!V20</f>
        <v>0.33698000000000011</v>
      </c>
      <c r="P5" s="38">
        <f t="shared" si="1"/>
        <v>1.0796878203692042E-2</v>
      </c>
      <c r="Q5" s="37">
        <f t="shared" si="2"/>
        <v>0.12956253844430449</v>
      </c>
    </row>
    <row r="6" spans="1:17" x14ac:dyDescent="0.45">
      <c r="A6" s="39" t="s">
        <v>14</v>
      </c>
      <c r="B6" s="25">
        <v>0.25</v>
      </c>
      <c r="C6" s="25">
        <v>0.25</v>
      </c>
      <c r="D6" s="25">
        <v>0.25</v>
      </c>
      <c r="E6" s="25">
        <v>0.13</v>
      </c>
      <c r="F6" s="25">
        <v>0.12</v>
      </c>
      <c r="G6" s="55">
        <f t="shared" si="0"/>
        <v>4.5649999999999996E-3</v>
      </c>
      <c r="H6" s="56">
        <v>0.45</v>
      </c>
      <c r="I6" s="58">
        <f>G6*(1-H6*Parameters!K14)</f>
        <v>4.1541499999999997E-3</v>
      </c>
      <c r="J6" s="33">
        <v>5.0000000000000001E-3</v>
      </c>
      <c r="K6" s="33">
        <f>0.002*(1-H6*Parameters!K14)</f>
        <v>1.82E-3</v>
      </c>
      <c r="L6" s="61">
        <f>'GMV(Layer)'!AF8</f>
        <v>3.5579926255638412</v>
      </c>
      <c r="M6" s="62">
        <f>'GMV(Layer)'!AH8</f>
        <v>1.1894508636997321E-2</v>
      </c>
      <c r="N6" s="34">
        <f>'GMV(Layer)'!AF8-'GMV(Layer)'!V25-M6</f>
        <v>3.1850481169268439</v>
      </c>
      <c r="O6" s="34">
        <f>'GMV(Layer)'!V25</f>
        <v>0.36105000000000009</v>
      </c>
      <c r="P6" s="38">
        <f t="shared" si="1"/>
        <v>1.5058065640650984E-2</v>
      </c>
      <c r="Q6" s="37">
        <f t="shared" si="2"/>
        <v>0.18069678768781181</v>
      </c>
    </row>
    <row r="7" spans="1:17" x14ac:dyDescent="0.45">
      <c r="A7" t="s">
        <v>15</v>
      </c>
      <c r="B7" s="25">
        <v>0.2</v>
      </c>
      <c r="C7" s="25">
        <v>0.25</v>
      </c>
      <c r="D7" s="25">
        <v>0.3</v>
      </c>
      <c r="E7" s="25">
        <v>0.15</v>
      </c>
      <c r="F7" s="25">
        <v>0.1</v>
      </c>
      <c r="G7" s="55">
        <f t="shared" si="0"/>
        <v>4.4749999999999998E-3</v>
      </c>
      <c r="H7" s="57">
        <v>0.6</v>
      </c>
      <c r="I7" s="58">
        <f>G7*(1-H7*Parameters!K15)</f>
        <v>3.9379999999999997E-3</v>
      </c>
      <c r="J7" s="33">
        <v>5.0000000000000001E-3</v>
      </c>
      <c r="K7" s="33">
        <f>0.002*(1-H7*Parameters!K15)</f>
        <v>1.7600000000000001E-3</v>
      </c>
      <c r="L7" s="61">
        <f>'GMV(Layer)'!AF9</f>
        <v>4.271816352337626</v>
      </c>
      <c r="M7" s="62">
        <f>'GMV(Layer)'!AH9</f>
        <v>1.6658933930123677E-2</v>
      </c>
      <c r="N7" s="34">
        <f>'GMV(Layer)'!AF9-'GMV(Layer)'!V30-M7</f>
        <v>3.9085494184075027</v>
      </c>
      <c r="O7" s="34">
        <f>'GMV(Layer)'!V30</f>
        <v>0.34660800000000003</v>
      </c>
      <c r="P7" s="38">
        <f t="shared" si="1"/>
        <v>1.7154227333405762E-2</v>
      </c>
      <c r="Q7" s="37">
        <f t="shared" si="2"/>
        <v>0.20585072800086915</v>
      </c>
    </row>
    <row r="9" spans="1:17" x14ac:dyDescent="0.45">
      <c r="A9" t="s">
        <v>114</v>
      </c>
      <c r="B9" s="54">
        <v>6.0000000000000001E-3</v>
      </c>
      <c r="C9" s="54">
        <v>5.0000000000000001E-3</v>
      </c>
      <c r="D9" s="54">
        <v>4.0000000000000001E-3</v>
      </c>
      <c r="E9" s="54">
        <v>3.5000000000000001E-3</v>
      </c>
      <c r="F9" s="54">
        <v>3.0000000000000001E-3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3400-9CB3-C84B-A238-40225A49C5D7}">
  <dimension ref="A1:I7"/>
  <sheetViews>
    <sheetView workbookViewId="0">
      <pane xSplit="1" topLeftCell="B1" activePane="topRight" state="frozen"/>
      <selection pane="topRight" activeCell="H17" sqref="H17"/>
    </sheetView>
  </sheetViews>
  <sheetFormatPr defaultColWidth="11.07421875" defaultRowHeight="17.5" x14ac:dyDescent="0.45"/>
  <cols>
    <col min="2" max="2" width="17.69140625" customWidth="1"/>
    <col min="3" max="3" width="16.3828125" customWidth="1"/>
    <col min="4" max="6" width="15.3046875" customWidth="1"/>
    <col min="9" max="9" width="13.15234375" customWidth="1"/>
  </cols>
  <sheetData>
    <row r="1" spans="1:9" s="68" customFormat="1" x14ac:dyDescent="0.45">
      <c r="A1" s="68" t="s">
        <v>0</v>
      </c>
      <c r="B1" s="69" t="s">
        <v>136</v>
      </c>
      <c r="C1" s="69" t="s">
        <v>140</v>
      </c>
      <c r="D1" s="68" t="s">
        <v>141</v>
      </c>
      <c r="E1" s="68" t="s">
        <v>135</v>
      </c>
      <c r="F1" s="68" t="s">
        <v>142</v>
      </c>
      <c r="G1" s="69" t="s">
        <v>137</v>
      </c>
      <c r="H1" s="69" t="s">
        <v>138</v>
      </c>
      <c r="I1" s="69" t="s">
        <v>139</v>
      </c>
    </row>
    <row r="2" spans="1:9" x14ac:dyDescent="0.45">
      <c r="A2" t="s">
        <v>10</v>
      </c>
      <c r="B2" s="63">
        <f>표3[[#This Row],[Graduation Ratio (θ)]]</f>
        <v>0</v>
      </c>
      <c r="C2" s="27">
        <f>'GMV(Layer)'!AH4</f>
        <v>0</v>
      </c>
      <c r="D2" s="34">
        <f>'GMV(Layer)'!V6</f>
        <v>0.10130471380471383</v>
      </c>
      <c r="E2" s="33">
        <v>7.0000000000000001E-3</v>
      </c>
      <c r="F2" s="33">
        <v>4.0000000000000001E-3</v>
      </c>
      <c r="G2" s="66">
        <f>C2*E2</f>
        <v>0</v>
      </c>
      <c r="H2" s="66">
        <f>D2*F2</f>
        <v>4.0521885521885531E-4</v>
      </c>
      <c r="I2" s="66">
        <f>G2+H2</f>
        <v>4.0521885521885531E-4</v>
      </c>
    </row>
    <row r="3" spans="1:9" x14ac:dyDescent="0.45">
      <c r="A3" t="s">
        <v>11</v>
      </c>
      <c r="B3" s="63">
        <f>표3[[#This Row],[Graduation Ratio (θ)]]</f>
        <v>5.0000000000000001E-3</v>
      </c>
      <c r="C3" s="27">
        <f>'GMV(Layer)'!AH5</f>
        <v>4.948690444265667E-4</v>
      </c>
      <c r="D3" s="34">
        <f>'GMV(Layer)'!V11</f>
        <v>0.10130471380471383</v>
      </c>
      <c r="E3" s="33">
        <v>7.0000000000000001E-3</v>
      </c>
      <c r="F3" s="33">
        <v>4.0000000000000001E-3</v>
      </c>
      <c r="G3" s="66">
        <f t="shared" ref="G3:G7" si="0">C3*E3</f>
        <v>3.4640833109859669E-6</v>
      </c>
      <c r="H3" s="66">
        <f t="shared" ref="H3:H7" si="1">D3*F3</f>
        <v>4.0521885521885531E-4</v>
      </c>
      <c r="I3" s="66">
        <f t="shared" ref="I3:I7" si="2">G3+H3</f>
        <v>4.086829385298413E-4</v>
      </c>
    </row>
    <row r="4" spans="1:9" x14ac:dyDescent="0.45">
      <c r="A4" t="s">
        <v>12</v>
      </c>
      <c r="B4" s="63">
        <f>표3[[#This Row],[Graduation Ratio (θ)]]</f>
        <v>8.0000000000000002E-3</v>
      </c>
      <c r="C4" s="27">
        <f>'GMV(Layer)'!AH6</f>
        <v>2.9304291657066541E-3</v>
      </c>
      <c r="D4" s="34">
        <f>'GMV(Layer)'!V16</f>
        <v>0.24070000000000005</v>
      </c>
      <c r="E4" s="33">
        <v>7.0000000000000001E-3</v>
      </c>
      <c r="F4" s="33">
        <v>4.0000000000000001E-3</v>
      </c>
      <c r="G4" s="66">
        <f t="shared" si="0"/>
        <v>2.0513004159946579E-5</v>
      </c>
      <c r="H4" s="66">
        <f t="shared" si="1"/>
        <v>9.628000000000002E-4</v>
      </c>
      <c r="I4" s="66">
        <f t="shared" si="2"/>
        <v>9.8331300415994667E-4</v>
      </c>
    </row>
    <row r="5" spans="1:9" x14ac:dyDescent="0.45">
      <c r="A5" t="s">
        <v>13</v>
      </c>
      <c r="B5" s="63">
        <f>표3[[#This Row],[Graduation Ratio (θ)]]</f>
        <v>0.01</v>
      </c>
      <c r="C5" s="27">
        <f>'GMV(Layer)'!AH7</f>
        <v>6.6004032667375161E-3</v>
      </c>
      <c r="D5" s="34">
        <f>'GMV(Layer)'!V21</f>
        <v>0.33698000000000011</v>
      </c>
      <c r="E5" s="33">
        <v>7.0000000000000001E-3</v>
      </c>
      <c r="F5" s="33">
        <v>4.0000000000000001E-3</v>
      </c>
      <c r="G5" s="66">
        <f t="shared" si="0"/>
        <v>4.6202822867162615E-5</v>
      </c>
      <c r="H5" s="66">
        <f t="shared" si="1"/>
        <v>1.3479200000000005E-3</v>
      </c>
      <c r="I5" s="66">
        <f t="shared" si="2"/>
        <v>1.3941228228671631E-3</v>
      </c>
    </row>
    <row r="6" spans="1:9" x14ac:dyDescent="0.45">
      <c r="A6" t="s">
        <v>14</v>
      </c>
      <c r="B6" s="63">
        <f>표3[[#This Row],[Graduation Ratio (θ)]]</f>
        <v>1.2E-2</v>
      </c>
      <c r="C6" s="27">
        <f>'GMV(Layer)'!AH8</f>
        <v>1.1894508636997321E-2</v>
      </c>
      <c r="D6" s="34">
        <f>'GMV(Layer)'!V26</f>
        <v>0.36105000000000009</v>
      </c>
      <c r="E6" s="33">
        <v>7.0000000000000001E-3</v>
      </c>
      <c r="F6" s="33">
        <v>4.0000000000000001E-3</v>
      </c>
      <c r="G6" s="66">
        <f t="shared" si="0"/>
        <v>8.3261560458981255E-5</v>
      </c>
      <c r="H6" s="66">
        <f t="shared" si="1"/>
        <v>1.4442000000000003E-3</v>
      </c>
      <c r="I6" s="66">
        <f t="shared" si="2"/>
        <v>1.5274615604589817E-3</v>
      </c>
    </row>
    <row r="7" spans="1:9" x14ac:dyDescent="0.45">
      <c r="A7" t="s">
        <v>15</v>
      </c>
      <c r="B7" s="63">
        <f>표3[[#This Row],[Graduation Ratio (θ)]]</f>
        <v>1.4E-2</v>
      </c>
      <c r="C7" s="27">
        <f>'GMV(Layer)'!AH9</f>
        <v>1.6658933930123677E-2</v>
      </c>
      <c r="D7" s="34">
        <f>'GMV(Layer)'!V31</f>
        <v>0.30328200000000005</v>
      </c>
      <c r="E7" s="33">
        <v>7.0000000000000001E-3</v>
      </c>
      <c r="F7" s="33">
        <v>4.0000000000000001E-3</v>
      </c>
      <c r="G7" s="66">
        <f t="shared" si="0"/>
        <v>1.1661253751086573E-4</v>
      </c>
      <c r="H7" s="66">
        <f t="shared" si="1"/>
        <v>1.2131280000000002E-3</v>
      </c>
      <c r="I7" s="66">
        <f t="shared" si="2"/>
        <v>1.3297405375108659E-3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E4CB-8648-AC44-B5C0-6F255D8C54DD}">
  <dimension ref="A1:G7"/>
  <sheetViews>
    <sheetView workbookViewId="0">
      <selection activeCell="B7" sqref="B7"/>
    </sheetView>
  </sheetViews>
  <sheetFormatPr defaultColWidth="11.07421875" defaultRowHeight="17.5" x14ac:dyDescent="0.45"/>
  <cols>
    <col min="2" max="2" width="12" customWidth="1"/>
    <col min="3" max="3" width="18.3046875" customWidth="1"/>
    <col min="4" max="4" width="15.3828125" customWidth="1"/>
  </cols>
  <sheetData>
    <row r="1" spans="1:7" s="68" customFormat="1" x14ac:dyDescent="0.45">
      <c r="A1" s="68" t="s">
        <v>0</v>
      </c>
      <c r="B1" s="68" t="s">
        <v>143</v>
      </c>
      <c r="C1" s="68" t="s">
        <v>149</v>
      </c>
      <c r="D1" s="68" t="s">
        <v>146</v>
      </c>
      <c r="E1" s="68" t="s">
        <v>147</v>
      </c>
      <c r="F1" s="68" t="s">
        <v>148</v>
      </c>
      <c r="G1" s="68" t="s">
        <v>144</v>
      </c>
    </row>
    <row r="2" spans="1:7" x14ac:dyDescent="0.45">
      <c r="A2" t="s">
        <v>10</v>
      </c>
      <c r="B2" s="34">
        <f>'GMV(Layer)'!AF4</f>
        <v>0.20197202739094805</v>
      </c>
      <c r="C2" s="34">
        <f>SUM('GMV(Layer)'!AC2:'GMV(Layer)'!AC3)-D2</f>
        <v>2.9754013922934537E-2</v>
      </c>
      <c r="D2" s="34">
        <f>'GMV(Layer)'!AH4</f>
        <v>0</v>
      </c>
      <c r="E2" s="33">
        <v>4.0000000000000001E-3</v>
      </c>
      <c r="F2" s="33">
        <v>2E-3</v>
      </c>
      <c r="G2" s="67">
        <f>C2*E2+D2*F2</f>
        <v>1.1901605569173815E-4</v>
      </c>
    </row>
    <row r="3" spans="1:7" x14ac:dyDescent="0.45">
      <c r="A3" t="s">
        <v>11</v>
      </c>
      <c r="B3" s="34">
        <f>'GMV(Layer)'!AF5</f>
        <v>0.40085557439525682</v>
      </c>
      <c r="C3" s="34">
        <f>SUM('GMV(Layer)'!AC7:'GMV(Layer)'!AC8)-D3</f>
        <v>0.17815295700786171</v>
      </c>
      <c r="D3" s="34">
        <f>'GMV(Layer)'!AH5</f>
        <v>4.948690444265667E-4</v>
      </c>
      <c r="E3" s="33">
        <v>4.0000000000000001E-3</v>
      </c>
      <c r="F3" s="33">
        <v>2E-3</v>
      </c>
      <c r="G3" s="67">
        <f t="shared" ref="G3:G7" si="0">C3*E3+D3*F3</f>
        <v>7.1360156612029996E-4</v>
      </c>
    </row>
    <row r="4" spans="1:7" x14ac:dyDescent="0.45">
      <c r="A4" t="s">
        <v>12</v>
      </c>
      <c r="B4" s="34">
        <f>'GMV(Layer)'!AF6</f>
        <v>1.3198446341243988</v>
      </c>
      <c r="C4" s="34">
        <f>SUM('GMV(Layer)'!AC12:'GMV(Layer)'!AC14)-D4</f>
        <v>0.83551420495869189</v>
      </c>
      <c r="D4" s="34">
        <f>'GMV(Layer)'!AH6</f>
        <v>2.9304291657066541E-3</v>
      </c>
      <c r="E4" s="33">
        <v>4.0000000000000001E-3</v>
      </c>
      <c r="F4" s="33">
        <v>2E-3</v>
      </c>
      <c r="G4" s="67">
        <f t="shared" si="0"/>
        <v>3.3479176781661809E-3</v>
      </c>
    </row>
    <row r="5" spans="1:7" x14ac:dyDescent="0.45">
      <c r="A5" t="s">
        <v>13</v>
      </c>
      <c r="B5" s="34">
        <f>'GMV(Layer)'!AF7</f>
        <v>2.3735856354123475</v>
      </c>
      <c r="C5" s="34">
        <f>SUM('GMV(Layer)'!AC17:'GMV(Layer)'!AC18)-D5</f>
        <v>1.4590974474971357</v>
      </c>
      <c r="D5" s="34">
        <f>'GMV(Layer)'!AH7</f>
        <v>6.6004032667375161E-3</v>
      </c>
      <c r="E5" s="33">
        <v>4.0000000000000001E-3</v>
      </c>
      <c r="F5" s="33">
        <v>2E-3</v>
      </c>
      <c r="G5" s="67">
        <f t="shared" si="0"/>
        <v>5.8495905965220175E-3</v>
      </c>
    </row>
    <row r="6" spans="1:7" x14ac:dyDescent="0.45">
      <c r="A6" t="s">
        <v>14</v>
      </c>
      <c r="B6" s="34">
        <f>'GMV(Layer)'!AF8</f>
        <v>3.5579926255638412</v>
      </c>
      <c r="C6" s="34">
        <f>SUM('GMV(Layer)'!AC22:'GMV(Layer)'!AC23)-D6</f>
        <v>2.4020432524107149</v>
      </c>
      <c r="D6" s="34">
        <f>'GMV(Layer)'!AH8</f>
        <v>1.1894508636997321E-2</v>
      </c>
      <c r="E6" s="33">
        <v>4.0000000000000001E-3</v>
      </c>
      <c r="F6" s="33">
        <v>2E-3</v>
      </c>
      <c r="G6" s="67">
        <f t="shared" si="0"/>
        <v>9.631962026916855E-3</v>
      </c>
    </row>
    <row r="7" spans="1:7" x14ac:dyDescent="0.45">
      <c r="A7" t="s">
        <v>15</v>
      </c>
      <c r="B7" s="34">
        <f>'GMV(Layer)'!AF9</f>
        <v>4.271816352337626</v>
      </c>
      <c r="C7" s="34">
        <f>SUM('GMV(Layer)'!AC27:'GMV(Layer)'!AC28)-D7</f>
        <v>3.0985724518040865</v>
      </c>
      <c r="D7" s="34">
        <f>'GMV(Layer)'!AH9</f>
        <v>1.6658933930123677E-2</v>
      </c>
      <c r="E7" s="33">
        <v>4.0000000000000001E-3</v>
      </c>
      <c r="F7" s="33">
        <v>2E-3</v>
      </c>
      <c r="G7" s="67">
        <f t="shared" si="0"/>
        <v>1.2427607675076594E-2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AAA7-7953-F746-AD8B-DC0E893268E6}">
  <dimension ref="A1:H8"/>
  <sheetViews>
    <sheetView workbookViewId="0">
      <selection activeCell="D4" sqref="D4"/>
    </sheetView>
  </sheetViews>
  <sheetFormatPr defaultColWidth="11.07421875" defaultRowHeight="17.5" x14ac:dyDescent="0.45"/>
  <cols>
    <col min="2" max="2" width="11.69140625" customWidth="1"/>
    <col min="4" max="4" width="11.69140625" customWidth="1"/>
    <col min="5" max="5" width="19.3046875" customWidth="1"/>
    <col min="6" max="6" width="14.15234375" customWidth="1"/>
    <col min="7" max="7" width="11.53515625" customWidth="1"/>
    <col min="8" max="8" width="17.15234375" customWidth="1"/>
  </cols>
  <sheetData>
    <row r="1" spans="1:8" s="68" customFormat="1" x14ac:dyDescent="0.45">
      <c r="A1" s="68" t="s">
        <v>0</v>
      </c>
      <c r="B1" s="68" t="s">
        <v>143</v>
      </c>
      <c r="C1" s="68" t="s">
        <v>150</v>
      </c>
      <c r="D1" s="68" t="s">
        <v>151</v>
      </c>
      <c r="E1" s="68" t="s">
        <v>152</v>
      </c>
      <c r="F1" s="68" t="s">
        <v>158</v>
      </c>
      <c r="G1" s="68" t="s">
        <v>154</v>
      </c>
      <c r="H1" s="68" t="s">
        <v>155</v>
      </c>
    </row>
    <row r="2" spans="1:8" x14ac:dyDescent="0.45">
      <c r="A2" t="s">
        <v>10</v>
      </c>
      <c r="B2" s="34">
        <f>'GMV(Layer)'!AF4</f>
        <v>0.20197202739094805</v>
      </c>
      <c r="C2" s="33">
        <v>1E-3</v>
      </c>
      <c r="D2" s="67">
        <f>B2*C2</f>
        <v>2.0197202739094807E-4</v>
      </c>
      <c r="E2" s="24">
        <f>표3[[#This Row],[Graduation Count / mo]]</f>
        <v>0</v>
      </c>
      <c r="F2" s="27" cm="1">
        <f t="array" ref="F2">표3[[#This Row],[Base Fee(Hype)]]*표5[$HYPE in USD]</f>
        <v>0</v>
      </c>
      <c r="G2" s="27">
        <f t="shared" ref="G2:G6" si="0">C2*F2*E2</f>
        <v>0</v>
      </c>
      <c r="H2" s="64">
        <f>G2+D2</f>
        <v>2.0197202739094807E-4</v>
      </c>
    </row>
    <row r="3" spans="1:8" x14ac:dyDescent="0.45">
      <c r="A3" t="s">
        <v>11</v>
      </c>
      <c r="B3" s="34">
        <f>'GMV(Layer)'!AF5</f>
        <v>0.40085557439525682</v>
      </c>
      <c r="C3" s="33">
        <v>1E-3</v>
      </c>
      <c r="D3" s="67">
        <f t="shared" ref="D3:D7" si="1">B3*C3</f>
        <v>4.0085557439525682E-4</v>
      </c>
      <c r="E3" s="24">
        <f>표3[[#This Row],[Graduation Count / mo]]</f>
        <v>287.87878787878793</v>
      </c>
      <c r="F3" s="78" cm="1">
        <f t="array" ref="F3">표3[[#This Row],[Base Fee(Hype)]]*표5[$HYPE in USD]/1000000000</f>
        <v>1.7999999999999998E-9</v>
      </c>
      <c r="G3" s="27">
        <f t="shared" si="0"/>
        <v>5.1818181818181824E-10</v>
      </c>
      <c r="H3" s="64">
        <f t="shared" ref="H3:H7" si="2">G3+D3</f>
        <v>4.0085609257707502E-4</v>
      </c>
    </row>
    <row r="4" spans="1:8" x14ac:dyDescent="0.45">
      <c r="A4" t="s">
        <v>12</v>
      </c>
      <c r="B4" s="34">
        <f>'GMV(Layer)'!AF6</f>
        <v>1.3198446341243988</v>
      </c>
      <c r="C4" s="33">
        <v>1E-3</v>
      </c>
      <c r="D4" s="67">
        <f t="shared" si="1"/>
        <v>1.3198446341243987E-3</v>
      </c>
      <c r="E4" s="24">
        <f>표3[[#This Row],[Graduation Count / mo]]</f>
        <v>1094.4000000000003</v>
      </c>
      <c r="F4" s="78" cm="1">
        <f t="array" ref="F4">표3[[#This Row],[Base Fee(Hype)]]*표5[$HYPE in USD]/1000000000</f>
        <v>1.7999999999999998E-9</v>
      </c>
      <c r="G4" s="27">
        <f t="shared" si="0"/>
        <v>1.9699200000000002E-9</v>
      </c>
      <c r="H4" s="64">
        <f t="shared" si="2"/>
        <v>1.3198466040443987E-3</v>
      </c>
    </row>
    <row r="5" spans="1:8" x14ac:dyDescent="0.45">
      <c r="A5" t="s">
        <v>13</v>
      </c>
      <c r="B5" s="34">
        <f>'GMV(Layer)'!AF7</f>
        <v>2.3735856354123475</v>
      </c>
      <c r="C5" s="33">
        <v>1E-3</v>
      </c>
      <c r="D5" s="67">
        <f t="shared" si="1"/>
        <v>2.3735856354123474E-3</v>
      </c>
      <c r="E5" s="24">
        <f>표3[[#This Row],[Graduation Count / mo]]</f>
        <v>1915.2000000000007</v>
      </c>
      <c r="F5" s="78" cm="1">
        <f t="array" ref="F5">표3[[#This Row],[Base Fee(Hype)]]*표5[$HYPE in USD]/1000000000</f>
        <v>1.7999999999999998E-9</v>
      </c>
      <c r="G5" s="27">
        <f t="shared" si="0"/>
        <v>3.4473600000000008E-9</v>
      </c>
      <c r="H5" s="64">
        <f t="shared" si="2"/>
        <v>2.3735890827723473E-3</v>
      </c>
    </row>
    <row r="6" spans="1:8" x14ac:dyDescent="0.45">
      <c r="A6" t="s">
        <v>14</v>
      </c>
      <c r="B6" s="34">
        <f>'GMV(Layer)'!AF8</f>
        <v>3.5579926255638412</v>
      </c>
      <c r="C6" s="33">
        <v>1E-3</v>
      </c>
      <c r="D6" s="67">
        <f t="shared" si="1"/>
        <v>3.5579926255638415E-3</v>
      </c>
      <c r="E6" s="24">
        <f>표3[[#This Row],[Graduation Count / mo]]</f>
        <v>2462.4000000000005</v>
      </c>
      <c r="F6" s="78" cm="1">
        <f t="array" ref="F6">표3[[#This Row],[Base Fee(Hype)]]*표5[$HYPE in USD]/1000000000</f>
        <v>1.7999999999999998E-9</v>
      </c>
      <c r="G6" s="27">
        <f t="shared" si="0"/>
        <v>4.4323200000000007E-9</v>
      </c>
      <c r="H6" s="64">
        <f t="shared" si="2"/>
        <v>3.5579970578838416E-3</v>
      </c>
    </row>
    <row r="7" spans="1:8" x14ac:dyDescent="0.45">
      <c r="A7" t="s">
        <v>15</v>
      </c>
      <c r="B7" s="34">
        <f>'GMV(Layer)'!AF9</f>
        <v>4.271816352337626</v>
      </c>
      <c r="C7" s="33">
        <v>1E-3</v>
      </c>
      <c r="D7" s="67">
        <f t="shared" si="1"/>
        <v>4.2718163523376264E-3</v>
      </c>
      <c r="E7" s="24">
        <f>표3[[#This Row],[Graduation Count / mo]]</f>
        <v>2413.152</v>
      </c>
      <c r="F7" s="78" cm="1">
        <f t="array" ref="F7">표3[[#This Row],[Base Fee(Hype)]]*표5[$HYPE in USD]/1000000000</f>
        <v>1.7999999999999998E-9</v>
      </c>
      <c r="G7" s="27">
        <f>C7*F7*E7</f>
        <v>4.3436735999999992E-9</v>
      </c>
      <c r="H7" s="64">
        <f t="shared" si="2"/>
        <v>4.271820696011226E-3</v>
      </c>
    </row>
    <row r="8" spans="1:8" x14ac:dyDescent="0.45">
      <c r="E8" s="2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C07A-B91E-FD41-9040-35363B6E9641}">
  <dimension ref="A1:C7"/>
  <sheetViews>
    <sheetView workbookViewId="0">
      <selection activeCell="B5" sqref="B5"/>
    </sheetView>
  </sheetViews>
  <sheetFormatPr defaultColWidth="11.07421875" defaultRowHeight="17.5" x14ac:dyDescent="0.45"/>
  <cols>
    <col min="3" max="3" width="13.3828125" bestFit="1" customWidth="1"/>
  </cols>
  <sheetData>
    <row r="1" spans="1:3" x14ac:dyDescent="0.45">
      <c r="A1" t="s">
        <v>0</v>
      </c>
      <c r="B1" t="s">
        <v>160</v>
      </c>
      <c r="C1" t="s">
        <v>161</v>
      </c>
    </row>
    <row r="2" spans="1:3" x14ac:dyDescent="0.45">
      <c r="A2" t="s">
        <v>10</v>
      </c>
      <c r="B2" s="65">
        <f>'Interface Fee'!H2*1000</f>
        <v>0.20197202739094808</v>
      </c>
      <c r="C2" s="70">
        <f>(표3[[#This Row],[Monthly Fee (B)]]+표6[[#This Row],[Monthly Fee(B)]]+표6_9[[#This Row],[열1]]+'Protocol Fee(Trade)'!P2)*1000</f>
        <v>1.1173959948690184</v>
      </c>
    </row>
    <row r="3" spans="1:3" x14ac:dyDescent="0.45">
      <c r="A3" t="s">
        <v>11</v>
      </c>
      <c r="B3" s="65">
        <f>'Interface Fee'!H3*1000</f>
        <v>0.400856092577075</v>
      </c>
      <c r="C3" s="70">
        <f>(표3[[#This Row],[Monthly Fee (B)]]+표6[[#This Row],[Monthly Fee(B)]]+표6_9[[#This Row],[열1]]+'Protocol Fee(Trade)'!P3)*1000</f>
        <v>2.218956512611391</v>
      </c>
    </row>
    <row r="4" spans="1:3" x14ac:dyDescent="0.45">
      <c r="A4" t="s">
        <v>12</v>
      </c>
      <c r="B4" s="65">
        <f>'Interface Fee'!H4*1000</f>
        <v>1.3198466040443986</v>
      </c>
      <c r="C4" s="70">
        <f>(표3[[#This Row],[Monthly Fee (B)]]+표6[[#This Row],[Monthly Fee(B)]]+표6_9[[#This Row],[열1]]+'Protocol Fee(Trade)'!P4)*1000</f>
        <v>6.9384108950153056</v>
      </c>
    </row>
    <row r="5" spans="1:3" x14ac:dyDescent="0.45">
      <c r="A5" t="s">
        <v>13</v>
      </c>
      <c r="B5" s="65">
        <f>'Interface Fee'!H5*1000</f>
        <v>2.3735890827723471</v>
      </c>
      <c r="C5" s="70">
        <f>(표3[[#This Row],[Monthly Fee (B)]]+표6[[#This Row],[Monthly Fee(B)]]+표6_9[[#This Row],[열1]]+'Protocol Fee(Trade)'!P5)*1000</f>
        <v>11.735490152428948</v>
      </c>
    </row>
    <row r="6" spans="1:3" x14ac:dyDescent="0.45">
      <c r="A6" t="s">
        <v>14</v>
      </c>
      <c r="B6" s="65">
        <f>'Interface Fee'!H6*1000</f>
        <v>3.5579970578838416</v>
      </c>
      <c r="C6" s="70">
        <f>(표3[[#This Row],[Monthly Fee (B)]]+표6[[#This Row],[Monthly Fee(B)]]+표6_9[[#This Row],[열1]]+'Protocol Fee(Trade)'!P6)*1000</f>
        <v>16.38854800148944</v>
      </c>
    </row>
    <row r="7" spans="1:3" x14ac:dyDescent="0.45">
      <c r="A7" t="s">
        <v>15</v>
      </c>
      <c r="B7" s="65">
        <f>'Interface Fee'!H7*1000</f>
        <v>4.2718206960112264</v>
      </c>
      <c r="C7" s="70">
        <f>(표3[[#This Row],[Monthly Fee (B)]]+표6[[#This Row],[Monthly Fee(B)]]+표6_9[[#This Row],[열1]]+'Protocol Fee(Trade)'!P7)*1000</f>
        <v>18.641276108016314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Parameters</vt:lpstr>
      <vt:lpstr>GMV(Total)</vt:lpstr>
      <vt:lpstr>GMV(Layer)</vt:lpstr>
      <vt:lpstr>AUM</vt:lpstr>
      <vt:lpstr>Launch Fee</vt:lpstr>
      <vt:lpstr>Rebalancing Fee</vt:lpstr>
      <vt:lpstr>Management Fee</vt:lpstr>
      <vt:lpstr>Protocol Fee(Trade)</vt:lpstr>
      <vt:lpstr>Creator Fee</vt:lpstr>
      <vt:lpstr>LP Fee</vt:lpstr>
      <vt:lpstr>Interface Fee</vt:lpstr>
      <vt:lpstr>Fee 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최재서</dc:creator>
  <cp:lastModifiedBy>현수 최</cp:lastModifiedBy>
  <dcterms:created xsi:type="dcterms:W3CDTF">2025-11-03T14:52:56Z</dcterms:created>
  <dcterms:modified xsi:type="dcterms:W3CDTF">2025-11-19T05:41:29Z</dcterms:modified>
</cp:coreProperties>
</file>